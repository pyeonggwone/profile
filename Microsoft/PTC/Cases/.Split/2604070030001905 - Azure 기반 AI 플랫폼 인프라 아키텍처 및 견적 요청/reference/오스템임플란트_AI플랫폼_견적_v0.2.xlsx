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kimpy_microsoft_com/Documents/Documents/"/>
    </mc:Choice>
  </mc:AlternateContent>
  <xr:revisionPtr revIDLastSave="0" documentId="8_{D794DB64-16D8-42A7-9D3F-58E7C6709786}" xr6:coauthVersionLast="47" xr6:coauthVersionMax="47" xr10:uidLastSave="{00000000-0000-0000-0000-000000000000}"/>
  <bookViews>
    <workbookView xWindow="-108" yWindow="-108" windowWidth="23040" windowHeight="11172" activeTab="3" xr2:uid="{00000000-000D-0000-FFFF-FFFF00000000}"/>
  </bookViews>
  <sheets>
    <sheet name="개요" sheetId="5" r:id="rId1"/>
    <sheet name="견적서_v0.1" sheetId="1" r:id="rId2"/>
    <sheet name="Scale-up" sheetId="6" r:id="rId3"/>
    <sheet name="대체안" sheetId="8" r:id="rId4"/>
  </sheets>
  <definedNames>
    <definedName name="_xlnm.Print_Area" localSheetId="2">'Scale-up'!$A$1:$K$64</definedName>
    <definedName name="_xlnm.Print_Area" localSheetId="1">견적서_v0.1!$A$1:$K$64</definedName>
    <definedName name="_xlnm.Print_Area" localSheetId="3">대체안!$A$1:$K$67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8" l="1"/>
  <c r="H26" i="8"/>
  <c r="I26" i="8"/>
  <c r="J26" i="8"/>
  <c r="J53" i="8"/>
  <c r="J55" i="8" s="1"/>
  <c r="I53" i="8"/>
  <c r="I55" i="8" s="1"/>
  <c r="H53" i="8"/>
  <c r="H55" i="8" s="1"/>
  <c r="J51" i="8"/>
  <c r="I51" i="8"/>
  <c r="H51" i="8"/>
  <c r="J41" i="8"/>
  <c r="I41" i="8"/>
  <c r="H41" i="8"/>
  <c r="I34" i="8"/>
  <c r="H34" i="8"/>
  <c r="J20" i="8"/>
  <c r="I20" i="8"/>
  <c r="H20" i="8"/>
  <c r="J14" i="8"/>
  <c r="I14" i="8"/>
  <c r="H14" i="8"/>
  <c r="J50" i="6"/>
  <c r="J52" i="6" s="1"/>
  <c r="I50" i="6"/>
  <c r="I52" i="6" s="1"/>
  <c r="H50" i="6"/>
  <c r="H52" i="6" s="1"/>
  <c r="J48" i="6"/>
  <c r="I48" i="6"/>
  <c r="H48" i="6"/>
  <c r="J38" i="6"/>
  <c r="I38" i="6"/>
  <c r="H38" i="6"/>
  <c r="J31" i="6"/>
  <c r="I31" i="6"/>
  <c r="H31" i="6"/>
  <c r="J26" i="6"/>
  <c r="I26" i="6"/>
  <c r="H26" i="6"/>
  <c r="J20" i="6"/>
  <c r="I20" i="6"/>
  <c r="H20" i="6"/>
  <c r="J14" i="6"/>
  <c r="I14" i="6"/>
  <c r="H14" i="6"/>
  <c r="J51" i="1"/>
  <c r="J50" i="1" s="1"/>
  <c r="I51" i="1"/>
  <c r="I50" i="1" s="1"/>
  <c r="I52" i="1" s="1"/>
  <c r="H51" i="1"/>
  <c r="H50" i="1" s="1"/>
  <c r="J31" i="1"/>
  <c r="I31" i="1"/>
  <c r="H31" i="1"/>
  <c r="H26" i="1"/>
  <c r="H20" i="1"/>
  <c r="H14" i="1"/>
  <c r="J38" i="1"/>
  <c r="I38" i="1"/>
  <c r="H38" i="1"/>
  <c r="J48" i="1"/>
  <c r="I48" i="1"/>
  <c r="H48" i="1"/>
  <c r="J26" i="1"/>
  <c r="I26" i="1"/>
  <c r="J20" i="1"/>
  <c r="I20" i="1"/>
  <c r="J14" i="1"/>
  <c r="I14" i="1"/>
  <c r="H58" i="8" l="1"/>
  <c r="H61" i="8"/>
  <c r="H49" i="8"/>
  <c r="H56" i="8" s="1"/>
  <c r="J58" i="8"/>
  <c r="J61" i="8"/>
  <c r="J49" i="8"/>
  <c r="J56" i="8" s="1"/>
  <c r="I58" i="8"/>
  <c r="I61" i="8"/>
  <c r="I49" i="8"/>
  <c r="I56" i="8" s="1"/>
  <c r="J55" i="6"/>
  <c r="J58" i="6"/>
  <c r="J46" i="6"/>
  <c r="J53" i="6" s="1"/>
  <c r="I55" i="6"/>
  <c r="I58" i="6"/>
  <c r="I46" i="6"/>
  <c r="I53" i="6" s="1"/>
  <c r="H55" i="6"/>
  <c r="H58" i="6"/>
  <c r="H46" i="6"/>
  <c r="H53" i="6" s="1"/>
  <c r="J52" i="1"/>
  <c r="J55" i="1" s="1"/>
  <c r="I47" i="1"/>
  <c r="I46" i="1" s="1"/>
  <c r="I53" i="1" s="1"/>
  <c r="H52" i="1"/>
  <c r="H47" i="1" s="1"/>
  <c r="H46" i="1" s="1"/>
  <c r="H53" i="1" s="1"/>
  <c r="I55" i="1"/>
  <c r="I58" i="1"/>
  <c r="H59" i="8" l="1"/>
  <c r="H64" i="8"/>
  <c r="H57" i="8"/>
  <c r="H63" i="8" s="1"/>
  <c r="H62" i="8"/>
  <c r="J59" i="8"/>
  <c r="J64" i="8"/>
  <c r="J57" i="8"/>
  <c r="J63" i="8" s="1"/>
  <c r="J62" i="8"/>
  <c r="I59" i="8"/>
  <c r="I64" i="8"/>
  <c r="I57" i="8"/>
  <c r="I63" i="8" s="1"/>
  <c r="I62" i="8"/>
  <c r="J56" i="6"/>
  <c r="J61" i="6"/>
  <c r="J59" i="6"/>
  <c r="J54" i="6"/>
  <c r="J60" i="6" s="1"/>
  <c r="I56" i="6"/>
  <c r="I61" i="6"/>
  <c r="I54" i="6"/>
  <c r="I60" i="6" s="1"/>
  <c r="I59" i="6"/>
  <c r="H61" i="6"/>
  <c r="H56" i="6"/>
  <c r="H59" i="6"/>
  <c r="H54" i="6"/>
  <c r="H60" i="6" s="1"/>
  <c r="J47" i="1"/>
  <c r="J46" i="1" s="1"/>
  <c r="J53" i="1" s="1"/>
  <c r="J54" i="1" s="1"/>
  <c r="J60" i="1" s="1"/>
  <c r="J58" i="1"/>
  <c r="H58" i="1"/>
  <c r="H55" i="1"/>
  <c r="J61" i="1"/>
  <c r="I54" i="1"/>
  <c r="I60" i="1" s="1"/>
  <c r="I59" i="1"/>
  <c r="I56" i="1"/>
  <c r="I61" i="1"/>
  <c r="H54" i="1"/>
  <c r="H60" i="1" s="1"/>
  <c r="H59" i="1"/>
  <c r="H56" i="1" l="1"/>
  <c r="H61" i="1"/>
  <c r="H60" i="8"/>
  <c r="H66" i="8" s="1"/>
  <c r="H65" i="8"/>
  <c r="J60" i="8"/>
  <c r="J66" i="8" s="1"/>
  <c r="J65" i="8"/>
  <c r="I60" i="8"/>
  <c r="I66" i="8" s="1"/>
  <c r="I65" i="8"/>
  <c r="J57" i="6"/>
  <c r="J63" i="6" s="1"/>
  <c r="J62" i="6"/>
  <c r="I62" i="6"/>
  <c r="I57" i="6"/>
  <c r="I63" i="6" s="1"/>
  <c r="H57" i="6"/>
  <c r="H63" i="6" s="1"/>
  <c r="H62" i="6"/>
  <c r="J56" i="1"/>
  <c r="J62" i="1" s="1"/>
  <c r="J59" i="1"/>
  <c r="I62" i="1"/>
  <c r="I57" i="1"/>
  <c r="I63" i="1" s="1"/>
  <c r="H62" i="1" l="1"/>
  <c r="H57" i="1"/>
  <c r="H63" i="1" s="1"/>
  <c r="J57" i="1"/>
  <c r="J63" i="1" s="1"/>
</calcChain>
</file>

<file path=xl/sharedStrings.xml><?xml version="1.0" encoding="utf-8"?>
<sst xmlns="http://schemas.openxmlformats.org/spreadsheetml/2006/main" count="627" uniqueCount="235">
  <si>
    <t>견   적   서</t>
  </si>
  <si>
    <t xml:space="preserve">견적번호 : </t>
  </si>
  <si>
    <t>견적일자 :</t>
  </si>
  <si>
    <t>2026-04-07</t>
  </si>
  <si>
    <t xml:space="preserve">수     신 : </t>
  </si>
  <si>
    <t xml:space="preserve">참     조 : </t>
  </si>
  <si>
    <t xml:space="preserve">견적 유효 기간 : </t>
  </si>
  <si>
    <t>30일</t>
  </si>
  <si>
    <t xml:space="preserve">결제 조건 : </t>
  </si>
  <si>
    <t>협의</t>
  </si>
  <si>
    <t>No.</t>
  </si>
  <si>
    <t>구분</t>
  </si>
  <si>
    <t>세부 항목</t>
  </si>
  <si>
    <t>Azure 리소스 / SKU</t>
  </si>
  <si>
    <t>사양 / 옵션</t>
  </si>
  <si>
    <t>수량</t>
  </si>
  <si>
    <t>금액(KRW)-종량제</t>
  </si>
  <si>
    <t>금액(KRW)-RI 3년</t>
  </si>
  <si>
    <t>비고</t>
  </si>
  <si>
    <t>사용자 플랫폼 (User Platform)</t>
  </si>
  <si>
    <t>소계</t>
  </si>
  <si>
    <t>Virtual Machine</t>
  </si>
  <si>
    <t>Standard_D4s_v5</t>
  </si>
  <si>
    <t>Linux / 730시간 / 범용 컴퓨팅</t>
  </si>
  <si>
    <t>Managed Disk</t>
  </si>
  <si>
    <t>P10 LRS</t>
  </si>
  <si>
    <t>OS+App 디스크 / VM당 1EA</t>
  </si>
  <si>
    <t>Standard_E8s_v5</t>
  </si>
  <si>
    <t>Linux / 730시간 / 메모리 최적화</t>
  </si>
  <si>
    <t>P15 LRS</t>
  </si>
  <si>
    <t>OS+App+로그 디스크 / VM당 1EA</t>
  </si>
  <si>
    <t>관리자 플랫폼 (Admin Platform)</t>
  </si>
  <si>
    <t>Standard_D8s_v5</t>
  </si>
  <si>
    <t>AI/RAG 데이터 파이프라인</t>
  </si>
  <si>
    <t>Standard_E16s_v5</t>
  </si>
  <si>
    <t>Linux / 730시간 / 메모리 최적화 (RAG 전용)</t>
  </si>
  <si>
    <t>P20 LRS</t>
  </si>
  <si>
    <t>OS+파이프라인 데이터 디스크 / VM당 1EA</t>
  </si>
  <si>
    <t>데이터 레이어 (RDBMS · VectorDB · Storage)</t>
  </si>
  <si>
    <t>Linux / 730시간 / PostgreSQL 또는 MySQL (IaaS)</t>
  </si>
  <si>
    <t>Premium SSD P20 512GB LRS — RDBMS</t>
  </si>
  <si>
    <t>DB 데이터+WAL 디스크 / VM당 1EA</t>
  </si>
  <si>
    <t>D8s_v5 (8vCPU/32GB) — VectorDB</t>
  </si>
  <si>
    <t>Premium SSD P20 512GB LRS — VectorDB</t>
  </si>
  <si>
    <t>벡터 인덱스 데이터 디스크 / VM당 1EA</t>
  </si>
  <si>
    <t>Blob Storage</t>
  </si>
  <si>
    <t>Hot LRS 3TB (3,072 GB)</t>
  </si>
  <si>
    <t>원본 문서·RAG 소스 데이터 저장</t>
  </si>
  <si>
    <t>공통 인프라 (네트워크·보안·운영)</t>
  </si>
  <si>
    <t>Public IP</t>
  </si>
  <si>
    <t>Standard IPv4 Static</t>
  </si>
  <si>
    <t>Standard Public IP</t>
  </si>
  <si>
    <t>Log Analytics</t>
  </si>
  <si>
    <t>월 20GB 로그 수집</t>
  </si>
  <si>
    <t>Analytics Logs Ingestion</t>
  </si>
  <si>
    <t>14VM 운영 로그 + RAG 파이프라인 로그</t>
  </si>
  <si>
    <t>[추정] 14대 VM 진단 + RAG 파이프라인 처리 로그, 운영 후 실사용량 기반 조정 필요</t>
  </si>
  <si>
    <t>Key Vault</t>
  </si>
  <si>
    <t>Standard (시크릿·키 관리)</t>
  </si>
  <si>
    <t>Key Vault Standard</t>
  </si>
  <si>
    <t>DB 자격증명·API 키·인증서 관리</t>
  </si>
  <si>
    <t>Azure Backup</t>
  </si>
  <si>
    <t>VM Backup Protected Instance</t>
  </si>
  <si>
    <t>Azure VM Backup</t>
  </si>
  <si>
    <t>14 VM × Protected Instance</t>
  </si>
  <si>
    <t>Backup Storage</t>
  </si>
  <si>
    <t>LRS Backup Data 500GB</t>
  </si>
  <si>
    <t>Backup LRS Storage</t>
  </si>
  <si>
    <t>VM 백업 데이터 보관 (30일 기준 추정)</t>
  </si>
  <si>
    <t>[추정] 백업 보관 스토리지 — 30일 보관 기준 500GB 추정, 보관 정책 확정 후 조정</t>
  </si>
  <si>
    <t>[MSP-옵션]</t>
  </si>
  <si>
    <t>Azure Infra</t>
  </si>
  <si>
    <t>Managed Service</t>
  </si>
  <si>
    <t>[구축비용]</t>
  </si>
  <si>
    <t>Professional Service</t>
  </si>
  <si>
    <t>[할인 금액]</t>
  </si>
  <si>
    <t>Azure 월간 비용</t>
  </si>
  <si>
    <t>월 합계(VAT제외)</t>
  </si>
  <si>
    <t>Azure 월간 비용+MSP Service 월간비용</t>
  </si>
  <si>
    <t>Azure 월간 비용+MSP Service 월간비용+구축비용</t>
  </si>
  <si>
    <t>Azure 연간 비용</t>
  </si>
  <si>
    <t>연 합계(VAT제외)</t>
  </si>
  <si>
    <t>Azure 연간 비용+MSP Service 연간비용</t>
  </si>
  <si>
    <t>Azure 연간 비용+MSP Service 연간비용+구축비용</t>
  </si>
  <si>
    <t>Scale-up 비용 비교 (월간, PAYG 기준)</t>
    <phoneticPr fontId="7" type="noConversion"/>
  </si>
  <si>
    <t>Scale-up RI3yr 비교 (월간)</t>
    <phoneticPr fontId="7" type="noConversion"/>
  </si>
  <si>
    <t>사용자 Web:  D4s_v5(₩259,938) → D16s_v5(₩1,039,746)  |  +300%</t>
  </si>
  <si>
    <t>사용자 WAS:  E8s_v5(₩669,666) → E32s_v5(₩2,678,662) |  +300%</t>
  </si>
  <si>
    <t>관리자 WAS:  D8s_v5(₩519,870) → D32s_v5(₩2,079,485) |  +300%</t>
  </si>
  <si>
    <t>RAG Pipeline: E16s_v5(₩1,339,331) → E64s_v5(₩5,357,324) | +300%</t>
  </si>
  <si>
    <t>RDBMS/VectorDB: D8s_v5(₩519,870) → D32s_v5(₩2,079,485) | +300%</t>
  </si>
  <si>
    <t>D16s_v5: ₩384,702/mo  |  E32s_v5: ₩991,114/mo  |  D32s_v5: ₩769,404/mo  |  E64s_v5: ₩1,982,228/mo</t>
  </si>
  <si>
    <t>1. Azure OpenAI (GPT-4o / GPT-4o-mini)</t>
  </si>
  <si>
    <t>2. Anthropic Claude (Azure AI Foundry Models-as-a-Service)</t>
  </si>
  <si>
    <t>- GPT-4o $2.50/1M input, $10.00/1M output | GPT-4o-mini $0.15/1M input, $0.60/1M output</t>
    <phoneticPr fontId="7" type="noConversion"/>
  </si>
  <si>
    <t>- Azure 데이터센터 내 처리, 고객 데이터 학습 미사용, VNet/Private Endpoint 완전 지원</t>
    <phoneticPr fontId="7" type="noConversion"/>
  </si>
  <si>
    <t>- Azure 네이티브 통합, SLA 99.9%, 리전 내 데이터 상주 보장, Managed Identity 인증</t>
    <phoneticPr fontId="7" type="noConversion"/>
  </si>
  <si>
    <t>- OpenAI 모델에만 한정, GPT-4o 최신 모델 배포 시 PTU(프로비저닝) 비용 발생 가능</t>
    <phoneticPr fontId="7" type="noConversion"/>
  </si>
  <si>
    <t>- Korea central CSP 구독에서 사용 불가</t>
    <phoneticPr fontId="7" type="noConversion"/>
  </si>
  <si>
    <t>3. Meta Llama 3.1 (자체 호스팅)</t>
    <phoneticPr fontId="7" type="noConversion"/>
  </si>
  <si>
    <t>- 자체 호스팅 시 GPU VM 비용만 (NC/ND 시리즈)</t>
    <phoneticPr fontId="7" type="noConversion"/>
  </si>
  <si>
    <t>- 자체 호스팅 시 데이터가 외부로 나가지 않음 — 완전한 데이터 통제</t>
    <phoneticPr fontId="7" type="noConversion"/>
  </si>
  <si>
    <t>- 오픈소스, 파인튜닝·커스터마이징 자유, 벤더 종속 없음, 상업 라이선스 무료</t>
    <phoneticPr fontId="7" type="noConversion"/>
  </si>
  <si>
    <t>※ 담당자 : Azure사업부 / 윤홍욱 매니저 / Mobile. 010-3105-0341 / e-mail. kyle.yoon@spintech.co.kr</t>
    <phoneticPr fontId="7" type="noConversion"/>
  </si>
  <si>
    <t>월 합계(VAT포함)</t>
    <phoneticPr fontId="7" type="noConversion"/>
  </si>
  <si>
    <t>연 합계(VAT포함)</t>
    <phoneticPr fontId="7" type="noConversion"/>
  </si>
  <si>
    <t>-</t>
    <phoneticPr fontId="7" type="noConversion"/>
  </si>
  <si>
    <t>올거나이즈 박재호 팀장님</t>
    <phoneticPr fontId="7" type="noConversion"/>
  </si>
  <si>
    <t>20260407-SPIN-AZ-01</t>
    <phoneticPr fontId="7" type="noConversion"/>
  </si>
  <si>
    <t>LLM  비교표</t>
    <phoneticPr fontId="7" type="noConversion"/>
  </si>
  <si>
    <t>LLM</t>
    <phoneticPr fontId="7" type="noConversion"/>
  </si>
  <si>
    <t>아키텍처 설계, VM 구성, RAG 파이프라인 구축, 네트워크·보안 세팅, 모니터링 구성, 테스트</t>
    <phoneticPr fontId="7" type="noConversion"/>
  </si>
  <si>
    <t>Discount</t>
    <phoneticPr fontId="7" type="noConversion"/>
  </si>
  <si>
    <t xml:space="preserve"> </t>
    <phoneticPr fontId="7" type="noConversion"/>
  </si>
  <si>
    <t>웹 애플리케이션 방화벽 v2</t>
    <phoneticPr fontId="7" type="noConversion"/>
  </si>
  <si>
    <t>WAF</t>
    <phoneticPr fontId="7" type="noConversion"/>
  </si>
  <si>
    <t>MSP Business 요율 20% / 최소금액 30만원</t>
    <phoneticPr fontId="7" type="noConversion"/>
  </si>
  <si>
    <t>Azure Infra 운영 서비스(인프라 유지보수)</t>
    <phoneticPr fontId="7" type="noConversion"/>
  </si>
  <si>
    <t>Input: ₩2,640.40 / Cached Input: ₩264.04 / Output: ₩21,123.20</t>
    <phoneticPr fontId="7" type="noConversion"/>
  </si>
  <si>
    <t>Linux / 730시간 / Milvus, Qdrant, pgvector 등</t>
    <phoneticPr fontId="7" type="noConversion"/>
  </si>
  <si>
    <t>5M 토큰 기준</t>
    <phoneticPr fontId="7" type="noConversion"/>
  </si>
  <si>
    <t>금액(KRW)-RI 1년</t>
    <phoneticPr fontId="7" type="noConversion"/>
  </si>
  <si>
    <t>E8s_v5 (8vCPU/64GB) ㅡ WAS</t>
    <phoneticPr fontId="7" type="noConversion"/>
  </si>
  <si>
    <t>D4s_v5 (4vCPU/16GB) ㅡ WEB</t>
    <phoneticPr fontId="7" type="noConversion"/>
  </si>
  <si>
    <t>D4s_v5 (4vCPU/16GB)  ㅡ WEB</t>
    <phoneticPr fontId="7" type="noConversion"/>
  </si>
  <si>
    <t>D8s_v5 (8vCPU/32GB) ㅡ WAS</t>
    <phoneticPr fontId="7" type="noConversion"/>
  </si>
  <si>
    <t>E16s_v5 (16vCPU/128GB) ㅡ RAG Data Pipeline WAS</t>
    <phoneticPr fontId="7" type="noConversion"/>
  </si>
  <si>
    <t>Premium SSD P10 128GB LRS ㅡ WEB</t>
    <phoneticPr fontId="7" type="noConversion"/>
  </si>
  <si>
    <t>Premium SSD P15 256GB LRS ㅡ WAS</t>
    <phoneticPr fontId="7" type="noConversion"/>
  </si>
  <si>
    <t>Premium SSD P10 128GB LRS  ㅡ WEB</t>
    <phoneticPr fontId="7" type="noConversion"/>
  </si>
  <si>
    <t>Premium SSD P20 512GB LRS ㅡ RAG Data Pipeline WAS</t>
    <phoneticPr fontId="7" type="noConversion"/>
  </si>
  <si>
    <t>GPT-5.2 Global ㅡ RAG Data Pipeline WAS</t>
    <phoneticPr fontId="7" type="noConversion"/>
  </si>
  <si>
    <t>Blob Hot LRS / Auto Scaling 지원</t>
    <phoneticPr fontId="7" type="noConversion"/>
  </si>
  <si>
    <t>Azure firewall</t>
    <phoneticPr fontId="7" type="noConversion"/>
  </si>
  <si>
    <t>L7 방화벽 / 730시간 / WAF포함</t>
    <phoneticPr fontId="7" type="noConversion"/>
  </si>
  <si>
    <t>부하분산</t>
    <phoneticPr fontId="7" type="noConversion"/>
  </si>
  <si>
    <t>Load Balancer</t>
    <phoneticPr fontId="7" type="noConversion"/>
  </si>
  <si>
    <t>WEB/WAS LB</t>
    <phoneticPr fontId="7" type="noConversion"/>
  </si>
  <si>
    <t>표준</t>
    <phoneticPr fontId="7" type="noConversion"/>
  </si>
  <si>
    <t>WAS LB</t>
    <phoneticPr fontId="7" type="noConversion"/>
  </si>
  <si>
    <t>D8s_v5 (8vCPU/32GB) — RDBMS</t>
    <phoneticPr fontId="7" type="noConversion"/>
  </si>
  <si>
    <t>RDBMS LB</t>
    <phoneticPr fontId="7" type="noConversion"/>
  </si>
  <si>
    <t>L3/4 방화벽, 관리자 접근</t>
    <phoneticPr fontId="7" type="noConversion"/>
  </si>
  <si>
    <t>WAF + Azure Firewall / 730시간</t>
    <phoneticPr fontId="7" type="noConversion"/>
  </si>
  <si>
    <t>[Remarks]
 - 본 견적의 VM금액은 1개월 기준 730시간으로 산정되었습니다.
 - 사용량 따라 청구되므로 클라우드 공급 금액은 비교 또는 참고용으로 사용하실 수 있으며, 계약 진행시 계약금액으로 사용되지 않습니다.
 - 청구 시점 환율에 따라 비용에 차이가 있을 수 있습니다. (환율: 1508.80 원)
 - 향 후 Azure 아키텍쳐 구성에 따라 제품 및 비용이 변동 될 수 있습니다.
 - Azure 구축비용은 시스템개발,DB마이그레이션 작업은 제외 됩니다.(Only Azure환경만 구축을 지원합니다)
 - 구축비용은 별도 협의 후 산정 가능하므로 본 견적에서는 제외되었습니다.</t>
    <phoneticPr fontId="7" type="noConversion"/>
  </si>
  <si>
    <t>부하분산</t>
  </si>
  <si>
    <t>플랫폼 내장</t>
  </si>
  <si>
    <t>App Service 내장 LB</t>
  </si>
  <si>
    <t>Built-in Autoscale</t>
  </si>
  <si>
    <t>—</t>
  </si>
  <si>
    <t>App Service</t>
  </si>
  <si>
    <t>WEB 계층</t>
  </si>
  <si>
    <t>P1v3 × 2</t>
  </si>
  <si>
    <t>Linux / Auto Scale / 범용</t>
  </si>
  <si>
    <t>WAS 계층</t>
  </si>
  <si>
    <t>P2v3 × 2</t>
  </si>
  <si>
    <t>Linux / Auto Scale / 메모리 최적화</t>
  </si>
  <si>
    <t>Load Balancer</t>
  </si>
  <si>
    <t>D16s_v5 (16vCPU/64GB) — WEB</t>
  </si>
  <si>
    <t>Standard_D16s_v5</t>
  </si>
  <si>
    <t>Premium SSD P10 128GB LRS — WEB</t>
  </si>
  <si>
    <t>E32s_v5 (32vCPU/256GB) — WAS</t>
  </si>
  <si>
    <t>Standard_E32s_v5</t>
  </si>
  <si>
    <t>Premium SSD P15 256GB LRS — WAS</t>
  </si>
  <si>
    <t>WEB/WAS LB</t>
  </si>
  <si>
    <t>표준 (동일)</t>
  </si>
  <si>
    <t>2 (동일)</t>
  </si>
  <si>
    <t>70,159 (동일)</t>
  </si>
  <si>
    <t>OS+App 디스크 / VM당 1EA (동일)</t>
  </si>
  <si>
    <t>59,476 (동일)</t>
  </si>
  <si>
    <t>OS+App+로그 디스크 / VM당 1EA (동일)</t>
  </si>
  <si>
    <t>114,706 (동일)</t>
  </si>
  <si>
    <t>D4s_v5 (4vCPU/16GB) — WEB</t>
  </si>
  <si>
    <t>Linux / 730시간 / 범용 컴퓨팅 (동일)</t>
  </si>
  <si>
    <t>519,876 (동일)</t>
  </si>
  <si>
    <t>306,790 (동일)</t>
  </si>
  <si>
    <t>192,372 (동일)</t>
  </si>
  <si>
    <t>D32s_v5 (32vCPU/128GB) — WAS</t>
  </si>
  <si>
    <t>Standard_D32s_v5</t>
  </si>
  <si>
    <t>WAS LB</t>
  </si>
  <si>
    <t>1 (동일)</t>
  </si>
  <si>
    <t>35,080 (동일)</t>
  </si>
  <si>
    <t>E64s_v5 (64vCPU/512GB) — RAG Data Pipeline WAS</t>
  </si>
  <si>
    <t>Standard_E64s_v5</t>
  </si>
  <si>
    <t>Premium SSD P20 512GB LRS — RAG Data Pipeline WAS</t>
  </si>
  <si>
    <t>OS+파이프라인 데이터 디스크 / VM당 1EA (동일)</t>
  </si>
  <si>
    <t>220,948 (동일)</t>
  </si>
  <si>
    <t>LLM</t>
  </si>
  <si>
    <t>GPT-5.2 Global — RAG Data Pipeline WAS</t>
  </si>
  <si>
    <t>Input: ₩2,640.40 / Cached Input: ₩264.04 / Output: ₩21,123.20</t>
  </si>
  <si>
    <t>5M 토큰 기준 (동일)</t>
  </si>
  <si>
    <t>5 (동일)</t>
  </si>
  <si>
    <t>442,267 (동일)</t>
  </si>
  <si>
    <t>RDBMS LB</t>
  </si>
  <si>
    <t>D32s_v5 (32vCPU/128GB) — RDBMS</t>
  </si>
  <si>
    <t>DB 데이터+WAL 디스크 / VM당 1EA (동일)</t>
  </si>
  <si>
    <t>D32s_v5 (32vCPU/128GB) — VectorDB</t>
  </si>
  <si>
    <t>Linux / 730시간 / Milvus, Qdrant, pgvector 등</t>
  </si>
  <si>
    <t>벡터 인덱스 데이터 디스크 / VM당 1EA (동일)</t>
  </si>
  <si>
    <t>Blob Hot LRS / Auto Scaling 지원</t>
  </si>
  <si>
    <t>원본 문서·RAG 소스 데이터 저장 (동일)</t>
  </si>
  <si>
    <t>92,701 (동일)</t>
  </si>
  <si>
    <t>MSP Business 요율 20% / 최소금액 30만원</t>
  </si>
  <si>
    <t>Azure Infra 운영 서비스(인프라 유지보수)</t>
  </si>
  <si>
    <t>Discount</t>
  </si>
  <si>
    <t>-</t>
  </si>
  <si>
    <t>Linux / Auto Scale / 범용 컴퓨팅</t>
  </si>
  <si>
    <t>오케스트레이션</t>
  </si>
  <si>
    <t>RAG Pipeline Orchestrator</t>
  </si>
  <si>
    <t>Azure Logic Apps (Standard)</t>
  </si>
  <si>
    <t>Chunk / Embed / Index 워크플로</t>
  </si>
  <si>
    <t>RAG WAS / API</t>
  </si>
  <si>
    <t>Azure App Service P1v3</t>
  </si>
  <si>
    <t>Linux / Auto Scale / RAG API</t>
  </si>
  <si>
    <t>Container Apps</t>
  </si>
  <si>
    <t>Chunking / Batch 처리</t>
  </si>
  <si>
    <t>Azure Container Apps</t>
  </si>
  <si>
    <t>CPU Burst / Memory Scale</t>
  </si>
  <si>
    <t>임베딩</t>
  </si>
  <si>
    <t>Embedding 모델 호출</t>
  </si>
  <si>
    <t>Azure OpenAI Embedding</t>
  </si>
  <si>
    <t>토큰 기반</t>
  </si>
  <si>
    <t>GPT-5.2 Global</t>
  </si>
  <si>
    <t>Azure OpenAI</t>
  </si>
  <si>
    <t>PaaS RDBMS</t>
  </si>
  <si>
    <t>Azure Database for PostgreSQL</t>
  </si>
  <si>
    <t>Azure Database for PostgreSQL Flexible Server</t>
  </si>
  <si>
    <t>8 vCore HA 대응</t>
  </si>
  <si>
    <t>Storage (DB)</t>
  </si>
  <si>
    <t>DB Storage</t>
  </si>
  <si>
    <t>Managed Storage 포함 해석</t>
  </si>
  <si>
    <t>500GB × 2 대응</t>
  </si>
  <si>
    <t>Azure AI Search</t>
  </si>
  <si>
    <t>Vector Index</t>
  </si>
  <si>
    <t>Search Unit 기반 (VectorDB 대체)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</si>
</sst>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9">
    <font>
      <sz val="11"/>
      <color theme="1"/>
      <name val="Calibri"/>
      <family val="2"/>
      <scheme val="minor"/>
    </font>
    <font>
      <b/>
      <sz val="22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3" tint="0.749992370372631"/>
        <bgColor indexed="65"/>
      </patternFill>
    </fill>
    <fill>
      <patternFill patternType="solid">
        <fgColor theme="3" tint="0.89999084444715716"/>
        <bgColor indexed="65"/>
      </patternFill>
    </fill>
    <fill>
      <patternFill patternType="solid">
        <fgColor theme="3" tint="0.49998474074526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Font="1" applyFill="1" applyAlignment="1">
      <alignment horizontal="distributed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0" fontId="3" fillId="6" borderId="7" xfId="0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0" fontId="0" fillId="8" borderId="0" xfId="0" applyFill="1"/>
    <xf numFmtId="0" fontId="0" fillId="0" borderId="0" xfId="0" quotePrefix="1"/>
    <xf numFmtId="0" fontId="0" fillId="0" borderId="1" xfId="0" applyBorder="1"/>
    <xf numFmtId="0" fontId="4" fillId="7" borderId="1" xfId="0" applyFont="1" applyFill="1" applyBorder="1" applyAlignment="1">
      <alignment vertical="top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0" borderId="0" xfId="0" applyFont="1"/>
    <xf numFmtId="0" fontId="8" fillId="8" borderId="0" xfId="0" applyFont="1" applyFill="1"/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4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" fillId="4" borderId="2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vertical="top" wrapText="1"/>
    </xf>
    <xf numFmtId="0" fontId="0" fillId="0" borderId="1" xfId="0" applyBorder="1"/>
    <xf numFmtId="164" fontId="3" fillId="5" borderId="1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0E01-D9FF-4CDF-81D1-F9A723107A72}">
  <dimension ref="A1:M24"/>
  <sheetViews>
    <sheetView topLeftCell="A4" workbookViewId="0">
      <selection activeCell="O21" sqref="O21"/>
    </sheetView>
  </sheetViews>
  <sheetFormatPr defaultRowHeight="14.4"/>
  <sheetData>
    <row r="1" spans="1:13">
      <c r="A1" s="26" t="s">
        <v>84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>
      <c r="A2" t="s">
        <v>86</v>
      </c>
    </row>
    <row r="3" spans="1:13">
      <c r="A3" t="s">
        <v>87</v>
      </c>
    </row>
    <row r="4" spans="1:13">
      <c r="A4" t="s">
        <v>88</v>
      </c>
    </row>
    <row r="5" spans="1:13">
      <c r="A5" t="s">
        <v>89</v>
      </c>
    </row>
    <row r="6" spans="1:13">
      <c r="A6" t="s">
        <v>90</v>
      </c>
    </row>
    <row r="8" spans="1:13">
      <c r="A8" s="26" t="s">
        <v>85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>
      <c r="A9" t="s">
        <v>91</v>
      </c>
    </row>
    <row r="11" spans="1:13">
      <c r="A11" s="26" t="s">
        <v>109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>
      <c r="A12" t="s">
        <v>92</v>
      </c>
    </row>
    <row r="13" spans="1:13">
      <c r="A13" s="20" t="s">
        <v>94</v>
      </c>
    </row>
    <row r="14" spans="1:13">
      <c r="A14" s="20" t="s">
        <v>95</v>
      </c>
    </row>
    <row r="15" spans="1:13">
      <c r="A15" s="20" t="s">
        <v>96</v>
      </c>
    </row>
    <row r="16" spans="1:13">
      <c r="A16" s="20" t="s">
        <v>97</v>
      </c>
    </row>
    <row r="18" spans="1:13">
      <c r="A18" s="26" t="s">
        <v>93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>
      <c r="A19" s="20" t="s">
        <v>98</v>
      </c>
    </row>
    <row r="21" spans="1:13">
      <c r="A21" s="26" t="s">
        <v>99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3">
      <c r="A22" s="20" t="s">
        <v>100</v>
      </c>
    </row>
    <row r="23" spans="1:13">
      <c r="A23" s="20" t="s">
        <v>101</v>
      </c>
    </row>
    <row r="24" spans="1:13">
      <c r="A24" s="20" t="s">
        <v>102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63"/>
  <sheetViews>
    <sheetView view="pageBreakPreview" topLeftCell="A10" zoomScale="55" zoomScaleNormal="100" zoomScaleSheetLayoutView="55" workbookViewId="0">
      <selection activeCell="E19" sqref="B19:F20"/>
    </sheetView>
  </sheetViews>
  <sheetFormatPr defaultRowHeight="14.4"/>
  <cols>
    <col min="1" max="1" width="2.77734375" customWidth="1"/>
    <col min="2" max="2" width="13.21875" customWidth="1"/>
    <col min="3" max="3" width="19.77734375" customWidth="1"/>
    <col min="4" max="4" width="50.21875" bestFit="1" customWidth="1"/>
    <col min="5" max="5" width="78.109375" customWidth="1"/>
    <col min="6" max="6" width="52.6640625" bestFit="1" customWidth="1"/>
    <col min="7" max="7" width="17.21875" customWidth="1"/>
    <col min="8" max="8" width="18" customWidth="1"/>
    <col min="9" max="9" width="17.44140625" customWidth="1"/>
    <col min="10" max="10" width="18.109375" bestFit="1" customWidth="1"/>
    <col min="11" max="11" width="2.77734375" customWidth="1"/>
    <col min="12" max="12" width="79.44140625" bestFit="1" customWidth="1"/>
    <col min="13" max="13" width="18.88671875" customWidth="1"/>
  </cols>
  <sheetData>
    <row r="2" spans="2:12" ht="17.399999999999999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2">
      <c r="B3" s="28"/>
      <c r="C3" s="28"/>
      <c r="D3" s="28"/>
      <c r="E3" s="28"/>
      <c r="F3" s="28"/>
      <c r="G3" s="28"/>
      <c r="H3" s="28"/>
      <c r="I3" s="28"/>
      <c r="J3" s="28"/>
    </row>
    <row r="4" spans="2:12" ht="14.4" customHeight="1" thickBot="1">
      <c r="B4" s="29"/>
      <c r="C4" s="29"/>
      <c r="D4" s="29"/>
      <c r="E4" s="29"/>
      <c r="F4" s="29"/>
      <c r="G4" s="29"/>
      <c r="H4" s="29"/>
      <c r="I4" s="29"/>
      <c r="J4" s="29"/>
    </row>
    <row r="5" spans="2:12" ht="14.4" customHeight="1" thickTop="1"/>
    <row r="6" spans="2:12" ht="15.6" customHeight="1">
      <c r="B6" s="1" t="s">
        <v>1</v>
      </c>
      <c r="C6" s="2" t="s">
        <v>108</v>
      </c>
    </row>
    <row r="7" spans="2:12" ht="15.6" customHeight="1">
      <c r="B7" s="1" t="s">
        <v>2</v>
      </c>
      <c r="C7" s="25" t="s">
        <v>3</v>
      </c>
    </row>
    <row r="8" spans="2:12" ht="15.6" customHeight="1">
      <c r="B8" s="1" t="s">
        <v>4</v>
      </c>
      <c r="C8" s="2" t="s">
        <v>107</v>
      </c>
    </row>
    <row r="9" spans="2:12" ht="15.6" customHeight="1">
      <c r="B9" s="1" t="s">
        <v>5</v>
      </c>
      <c r="C9" t="s">
        <v>106</v>
      </c>
    </row>
    <row r="10" spans="2:12" ht="15.6" customHeight="1">
      <c r="B10" s="1" t="s">
        <v>6</v>
      </c>
      <c r="C10" s="2" t="s">
        <v>7</v>
      </c>
    </row>
    <row r="11" spans="2:12" ht="15.6" customHeight="1">
      <c r="B11" s="1" t="s">
        <v>8</v>
      </c>
      <c r="C11" s="2" t="s">
        <v>9</v>
      </c>
    </row>
    <row r="13" spans="2:12" ht="17.399999999999999" customHeight="1"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16</v>
      </c>
      <c r="I13" s="3" t="s">
        <v>121</v>
      </c>
      <c r="J13" s="3" t="s">
        <v>17</v>
      </c>
      <c r="L13" s="3" t="s">
        <v>18</v>
      </c>
    </row>
    <row r="14" spans="2:12" ht="17.399999999999999" customHeight="1">
      <c r="B14" s="36" t="s">
        <v>19</v>
      </c>
      <c r="C14" s="34"/>
      <c r="D14" s="34"/>
      <c r="E14" s="34"/>
      <c r="F14" s="34"/>
      <c r="G14" s="4" t="s">
        <v>20</v>
      </c>
      <c r="H14" s="5">
        <f>SUM(H15:H19)</f>
        <v>2103549.2000000002</v>
      </c>
      <c r="I14" s="5">
        <f>SUM(I16:I19)</f>
        <v>1271080</v>
      </c>
      <c r="J14" s="5">
        <f>SUM(J16:J19)</f>
        <v>862110</v>
      </c>
      <c r="L14" s="6"/>
    </row>
    <row r="15" spans="2:12" ht="17.399999999999999" customHeight="1">
      <c r="B15" s="7">
        <v>1</v>
      </c>
      <c r="C15" s="8" t="s">
        <v>135</v>
      </c>
      <c r="D15" s="8" t="s">
        <v>136</v>
      </c>
      <c r="E15" s="8" t="s">
        <v>137</v>
      </c>
      <c r="F15" s="8" t="s">
        <v>138</v>
      </c>
      <c r="G15" s="8">
        <v>2</v>
      </c>
      <c r="H15" s="9">
        <v>70159.199999999997</v>
      </c>
      <c r="I15" s="9">
        <v>70159.199999999997</v>
      </c>
      <c r="J15" s="9">
        <v>70159.199999999997</v>
      </c>
      <c r="L15" s="6"/>
    </row>
    <row r="16" spans="2:12" ht="17.399999999999999" customHeight="1">
      <c r="B16" s="7">
        <v>2</v>
      </c>
      <c r="C16" s="8" t="s">
        <v>21</v>
      </c>
      <c r="D16" s="8" t="s">
        <v>123</v>
      </c>
      <c r="E16" s="8" t="s">
        <v>22</v>
      </c>
      <c r="F16" s="8" t="s">
        <v>23</v>
      </c>
      <c r="G16" s="8">
        <v>2</v>
      </c>
      <c r="H16" s="9">
        <v>519876</v>
      </c>
      <c r="I16" s="9">
        <v>306790</v>
      </c>
      <c r="J16" s="9">
        <v>192372</v>
      </c>
      <c r="L16" s="8"/>
    </row>
    <row r="17" spans="2:12" ht="17.399999999999999" customHeight="1">
      <c r="B17" s="7">
        <v>3</v>
      </c>
      <c r="C17" s="8" t="s">
        <v>24</v>
      </c>
      <c r="D17" s="8" t="s">
        <v>127</v>
      </c>
      <c r="E17" s="8" t="s">
        <v>25</v>
      </c>
      <c r="F17" s="8" t="s">
        <v>26</v>
      </c>
      <c r="G17" s="8">
        <v>2</v>
      </c>
      <c r="H17" s="9">
        <v>59476</v>
      </c>
      <c r="I17" s="9">
        <v>59476</v>
      </c>
      <c r="J17" s="9">
        <v>59476</v>
      </c>
      <c r="L17" s="8"/>
    </row>
    <row r="18" spans="2:12" ht="17.399999999999999" customHeight="1">
      <c r="B18" s="7">
        <v>4</v>
      </c>
      <c r="C18" s="8" t="s">
        <v>21</v>
      </c>
      <c r="D18" s="8" t="s">
        <v>122</v>
      </c>
      <c r="E18" s="8" t="s">
        <v>27</v>
      </c>
      <c r="F18" s="8" t="s">
        <v>28</v>
      </c>
      <c r="G18" s="8">
        <v>2</v>
      </c>
      <c r="H18" s="9">
        <v>1339332</v>
      </c>
      <c r="I18" s="9">
        <v>790108</v>
      </c>
      <c r="J18" s="9">
        <v>495556</v>
      </c>
      <c r="L18" s="8"/>
    </row>
    <row r="19" spans="2:12" ht="17.399999999999999" customHeight="1">
      <c r="B19" s="7">
        <v>5</v>
      </c>
      <c r="C19" s="8" t="s">
        <v>24</v>
      </c>
      <c r="D19" s="8" t="s">
        <v>128</v>
      </c>
      <c r="E19" s="8" t="s">
        <v>29</v>
      </c>
      <c r="F19" s="8" t="s">
        <v>30</v>
      </c>
      <c r="G19" s="8">
        <v>2</v>
      </c>
      <c r="H19" s="9">
        <v>114706</v>
      </c>
      <c r="I19" s="9">
        <v>114706</v>
      </c>
      <c r="J19" s="9">
        <v>114706</v>
      </c>
      <c r="L19" s="8"/>
    </row>
    <row r="20" spans="2:12" ht="17.399999999999999" customHeight="1">
      <c r="B20" s="36" t="s">
        <v>31</v>
      </c>
      <c r="C20" s="40"/>
      <c r="D20" s="40"/>
      <c r="E20" s="40"/>
      <c r="F20" s="41"/>
      <c r="G20" s="4" t="s">
        <v>20</v>
      </c>
      <c r="H20" s="5">
        <f>SUM(H21:H25)</f>
        <v>1803957.2</v>
      </c>
      <c r="I20" s="5">
        <f>SUM(I22:I25)</f>
        <v>1094300</v>
      </c>
      <c r="J20" s="5">
        <f>SUM(J22:J25)</f>
        <v>751298</v>
      </c>
      <c r="L20" s="6"/>
    </row>
    <row r="21" spans="2:12" ht="17.399999999999999" customHeight="1">
      <c r="B21" s="7">
        <v>6</v>
      </c>
      <c r="C21" s="8" t="s">
        <v>135</v>
      </c>
      <c r="D21" s="8" t="s">
        <v>136</v>
      </c>
      <c r="E21" s="8" t="s">
        <v>137</v>
      </c>
      <c r="F21" s="8" t="s">
        <v>138</v>
      </c>
      <c r="G21" s="8">
        <v>2</v>
      </c>
      <c r="H21" s="9">
        <v>70159.199999999997</v>
      </c>
      <c r="I21" s="9">
        <v>70159.199999999997</v>
      </c>
      <c r="J21" s="9">
        <v>70159.199999999997</v>
      </c>
      <c r="L21" s="6"/>
    </row>
    <row r="22" spans="2:12" ht="17.399999999999999" customHeight="1">
      <c r="B22" s="7">
        <v>7</v>
      </c>
      <c r="C22" s="8" t="s">
        <v>21</v>
      </c>
      <c r="D22" s="8" t="s">
        <v>124</v>
      </c>
      <c r="E22" s="8" t="s">
        <v>22</v>
      </c>
      <c r="F22" s="8" t="s">
        <v>23</v>
      </c>
      <c r="G22" s="8">
        <v>2</v>
      </c>
      <c r="H22" s="9">
        <v>519876</v>
      </c>
      <c r="I22" s="9">
        <v>306790</v>
      </c>
      <c r="J22" s="9">
        <v>192372</v>
      </c>
      <c r="L22" s="8"/>
    </row>
    <row r="23" spans="2:12" ht="17.399999999999999" customHeight="1">
      <c r="B23" s="7">
        <v>8</v>
      </c>
      <c r="C23" s="8" t="s">
        <v>24</v>
      </c>
      <c r="D23" s="8" t="s">
        <v>129</v>
      </c>
      <c r="E23" s="8" t="s">
        <v>25</v>
      </c>
      <c r="F23" s="8" t="s">
        <v>26</v>
      </c>
      <c r="G23" s="8">
        <v>2</v>
      </c>
      <c r="H23" s="9">
        <v>59476</v>
      </c>
      <c r="I23" s="9">
        <v>59476</v>
      </c>
      <c r="J23" s="9">
        <v>59476</v>
      </c>
      <c r="L23" s="8"/>
    </row>
    <row r="24" spans="2:12" ht="17.399999999999999" customHeight="1">
      <c r="B24" s="7">
        <v>9</v>
      </c>
      <c r="C24" s="8" t="s">
        <v>21</v>
      </c>
      <c r="D24" s="8" t="s">
        <v>125</v>
      </c>
      <c r="E24" s="8" t="s">
        <v>32</v>
      </c>
      <c r="F24" s="8" t="s">
        <v>23</v>
      </c>
      <c r="G24" s="8">
        <v>2</v>
      </c>
      <c r="H24" s="9">
        <v>1039740</v>
      </c>
      <c r="I24" s="9">
        <v>613328</v>
      </c>
      <c r="J24" s="9">
        <v>384744</v>
      </c>
      <c r="L24" s="8"/>
    </row>
    <row r="25" spans="2:12" ht="17.399999999999999" customHeight="1">
      <c r="B25" s="7">
        <v>10</v>
      </c>
      <c r="C25" s="8" t="s">
        <v>24</v>
      </c>
      <c r="D25" s="8" t="s">
        <v>128</v>
      </c>
      <c r="E25" s="8" t="s">
        <v>29</v>
      </c>
      <c r="F25" s="8" t="s">
        <v>30</v>
      </c>
      <c r="G25" s="8">
        <v>2</v>
      </c>
      <c r="H25" s="9">
        <v>114706</v>
      </c>
      <c r="I25" s="9">
        <v>114706</v>
      </c>
      <c r="J25" s="9">
        <v>114706</v>
      </c>
      <c r="L25" s="8"/>
    </row>
    <row r="26" spans="2:12" ht="17.399999999999999" customHeight="1">
      <c r="B26" s="36" t="s">
        <v>33</v>
      </c>
      <c r="C26" s="40"/>
      <c r="D26" s="40"/>
      <c r="E26" s="40"/>
      <c r="F26" s="41"/>
      <c r="G26" s="4" t="s">
        <v>20</v>
      </c>
      <c r="H26" s="5">
        <f>SUM(H27:H30)</f>
        <v>3376956.6</v>
      </c>
      <c r="I26" s="5">
        <f>SUM(I28:I29)</f>
        <v>1801416</v>
      </c>
      <c r="J26" s="5">
        <f>SUM(J28:J29)</f>
        <v>1212062</v>
      </c>
      <c r="L26" s="6"/>
    </row>
    <row r="27" spans="2:12" ht="17.399999999999999" customHeight="1">
      <c r="B27" s="7">
        <v>11</v>
      </c>
      <c r="C27" s="8" t="s">
        <v>135</v>
      </c>
      <c r="D27" s="8" t="s">
        <v>136</v>
      </c>
      <c r="E27" s="8" t="s">
        <v>139</v>
      </c>
      <c r="F27" s="8" t="s">
        <v>138</v>
      </c>
      <c r="G27" s="8">
        <v>1</v>
      </c>
      <c r="H27" s="9">
        <v>35079.599999999999</v>
      </c>
      <c r="I27" s="9">
        <v>35079.599999999999</v>
      </c>
      <c r="J27" s="9">
        <v>35079.599999999999</v>
      </c>
      <c r="L27" s="6"/>
    </row>
    <row r="28" spans="2:12" ht="17.399999999999999" customHeight="1">
      <c r="B28" s="7">
        <v>12</v>
      </c>
      <c r="C28" s="8" t="s">
        <v>21</v>
      </c>
      <c r="D28" s="8" t="s">
        <v>126</v>
      </c>
      <c r="E28" s="8" t="s">
        <v>34</v>
      </c>
      <c r="F28" s="8" t="s">
        <v>35</v>
      </c>
      <c r="G28" s="8">
        <v>2</v>
      </c>
      <c r="H28" s="9">
        <v>2678662</v>
      </c>
      <c r="I28" s="9">
        <v>1580468</v>
      </c>
      <c r="J28" s="9">
        <v>991114</v>
      </c>
      <c r="L28" s="8"/>
    </row>
    <row r="29" spans="2:12" ht="17.399999999999999" customHeight="1">
      <c r="B29" s="7">
        <v>13</v>
      </c>
      <c r="C29" s="8" t="s">
        <v>24</v>
      </c>
      <c r="D29" s="8" t="s">
        <v>130</v>
      </c>
      <c r="E29" s="8" t="s">
        <v>36</v>
      </c>
      <c r="F29" s="8" t="s">
        <v>37</v>
      </c>
      <c r="G29" s="8">
        <v>2</v>
      </c>
      <c r="H29" s="9">
        <v>220948</v>
      </c>
      <c r="I29" s="9">
        <v>220948</v>
      </c>
      <c r="J29" s="9">
        <v>220948</v>
      </c>
      <c r="L29" s="8"/>
    </row>
    <row r="30" spans="2:12" ht="17.399999999999999" customHeight="1">
      <c r="B30" s="7">
        <v>14</v>
      </c>
      <c r="C30" s="8" t="s">
        <v>110</v>
      </c>
      <c r="D30" s="8" t="s">
        <v>131</v>
      </c>
      <c r="E30" s="8" t="s">
        <v>118</v>
      </c>
      <c r="F30" s="8" t="s">
        <v>120</v>
      </c>
      <c r="G30" s="8">
        <v>5</v>
      </c>
      <c r="H30" s="9">
        <v>442267</v>
      </c>
      <c r="I30" s="9">
        <v>442267</v>
      </c>
      <c r="J30" s="9">
        <v>442267</v>
      </c>
      <c r="L30" s="8"/>
    </row>
    <row r="31" spans="2:12" ht="17.399999999999999" customHeight="1">
      <c r="B31" s="33" t="s">
        <v>38</v>
      </c>
      <c r="C31" s="33"/>
      <c r="D31" s="33"/>
      <c r="E31" s="33"/>
      <c r="F31" s="33"/>
      <c r="G31" s="4" t="s">
        <v>20</v>
      </c>
      <c r="H31" s="5">
        <f>SUM(H32:H37)</f>
        <v>2649156.6</v>
      </c>
      <c r="I31" s="5">
        <f>SUM(I32:I37)</f>
        <v>1796332.6</v>
      </c>
      <c r="J31" s="5">
        <f>SUM(J32:J37)</f>
        <v>1339164.6000000001</v>
      </c>
      <c r="L31" s="6"/>
    </row>
    <row r="32" spans="2:12" ht="17.399999999999999" customHeight="1">
      <c r="B32" s="7">
        <v>11</v>
      </c>
      <c r="C32" s="8" t="s">
        <v>135</v>
      </c>
      <c r="D32" s="8" t="s">
        <v>136</v>
      </c>
      <c r="E32" s="8" t="s">
        <v>141</v>
      </c>
      <c r="F32" s="8" t="s">
        <v>138</v>
      </c>
      <c r="G32" s="8">
        <v>1</v>
      </c>
      <c r="H32" s="9">
        <v>35079.599999999999</v>
      </c>
      <c r="I32" s="9">
        <v>35079.599999999999</v>
      </c>
      <c r="J32" s="9">
        <v>35079.599999999999</v>
      </c>
      <c r="L32" s="6"/>
    </row>
    <row r="33" spans="2:12" ht="17.399999999999999" customHeight="1">
      <c r="B33" s="7">
        <v>15</v>
      </c>
      <c r="C33" s="8" t="s">
        <v>21</v>
      </c>
      <c r="D33" s="8" t="s">
        <v>140</v>
      </c>
      <c r="E33" s="8" t="s">
        <v>32</v>
      </c>
      <c r="F33" s="8" t="s">
        <v>39</v>
      </c>
      <c r="G33" s="8">
        <v>2</v>
      </c>
      <c r="H33" s="9">
        <v>1039740</v>
      </c>
      <c r="I33" s="9">
        <v>613328</v>
      </c>
      <c r="J33" s="9">
        <v>384744</v>
      </c>
      <c r="L33" s="8"/>
    </row>
    <row r="34" spans="2:12" ht="17.399999999999999" customHeight="1">
      <c r="B34" s="7">
        <v>16</v>
      </c>
      <c r="C34" s="8" t="s">
        <v>24</v>
      </c>
      <c r="D34" s="8" t="s">
        <v>40</v>
      </c>
      <c r="E34" s="8" t="s">
        <v>36</v>
      </c>
      <c r="F34" s="8" t="s">
        <v>41</v>
      </c>
      <c r="G34" s="8">
        <v>2</v>
      </c>
      <c r="H34" s="9">
        <v>220948</v>
      </c>
      <c r="I34" s="9">
        <v>220948</v>
      </c>
      <c r="J34" s="9">
        <v>220948</v>
      </c>
      <c r="L34" s="8"/>
    </row>
    <row r="35" spans="2:12" ht="17.399999999999999" customHeight="1">
      <c r="B35" s="7">
        <v>17</v>
      </c>
      <c r="C35" s="8" t="s">
        <v>21</v>
      </c>
      <c r="D35" s="8" t="s">
        <v>42</v>
      </c>
      <c r="E35" s="8" t="s">
        <v>32</v>
      </c>
      <c r="F35" s="8" t="s">
        <v>119</v>
      </c>
      <c r="G35" s="8">
        <v>2</v>
      </c>
      <c r="H35" s="9">
        <v>1039740</v>
      </c>
      <c r="I35" s="9">
        <v>613328</v>
      </c>
      <c r="J35" s="9">
        <v>384744</v>
      </c>
      <c r="L35" s="8"/>
    </row>
    <row r="36" spans="2:12" ht="17.399999999999999" customHeight="1">
      <c r="B36" s="7">
        <v>18</v>
      </c>
      <c r="C36" s="8" t="s">
        <v>24</v>
      </c>
      <c r="D36" s="8" t="s">
        <v>43</v>
      </c>
      <c r="E36" s="8" t="s">
        <v>36</v>
      </c>
      <c r="F36" s="8" t="s">
        <v>44</v>
      </c>
      <c r="G36" s="8">
        <v>2</v>
      </c>
      <c r="H36" s="9">
        <v>220948</v>
      </c>
      <c r="I36" s="9">
        <v>220948</v>
      </c>
      <c r="J36" s="9">
        <v>220948</v>
      </c>
      <c r="L36" s="8"/>
    </row>
    <row r="37" spans="2:12" ht="17.399999999999999" customHeight="1">
      <c r="B37" s="23">
        <v>19</v>
      </c>
      <c r="C37" t="s">
        <v>45</v>
      </c>
      <c r="D37" s="24" t="s">
        <v>46</v>
      </c>
      <c r="E37" s="24" t="s">
        <v>132</v>
      </c>
      <c r="F37" s="24" t="s">
        <v>47</v>
      </c>
      <c r="G37" s="8">
        <v>1</v>
      </c>
      <c r="H37" s="9">
        <v>92701</v>
      </c>
      <c r="I37" s="9">
        <v>92701</v>
      </c>
      <c r="J37" s="9">
        <v>92701</v>
      </c>
      <c r="L37" s="8"/>
    </row>
    <row r="38" spans="2:12" ht="17.399999999999999" customHeight="1">
      <c r="B38" s="33" t="s">
        <v>48</v>
      </c>
      <c r="C38" s="33"/>
      <c r="D38" s="33"/>
      <c r="E38" s="33"/>
      <c r="F38" s="33"/>
      <c r="G38" s="4" t="s">
        <v>20</v>
      </c>
      <c r="H38" s="5">
        <f>SUM(H39:H45)</f>
        <v>2251249.21</v>
      </c>
      <c r="I38" s="5">
        <f>SUM(I39:I45)</f>
        <v>2251249.21</v>
      </c>
      <c r="J38" s="5">
        <f>SUM(J39:J45)</f>
        <v>2251249.21</v>
      </c>
      <c r="L38" s="6"/>
    </row>
    <row r="39" spans="2:12" ht="17.399999999999999" customHeight="1">
      <c r="B39" s="7">
        <v>20</v>
      </c>
      <c r="C39" s="8" t="s">
        <v>115</v>
      </c>
      <c r="D39" s="8" t="s">
        <v>114</v>
      </c>
      <c r="E39" s="8" t="s">
        <v>134</v>
      </c>
      <c r="F39" s="7" t="s">
        <v>106</v>
      </c>
      <c r="G39" s="8">
        <v>1</v>
      </c>
      <c r="H39" s="9">
        <v>535292.04</v>
      </c>
      <c r="I39" s="9">
        <v>535292.04</v>
      </c>
      <c r="J39" s="9">
        <v>535292.04</v>
      </c>
      <c r="L39" s="8"/>
    </row>
    <row r="40" spans="2:12" ht="17.399999999999999" customHeight="1">
      <c r="B40" s="7">
        <v>21</v>
      </c>
      <c r="C40" s="8" t="s">
        <v>49</v>
      </c>
      <c r="D40" s="8" t="s">
        <v>50</v>
      </c>
      <c r="E40" s="8" t="s">
        <v>51</v>
      </c>
      <c r="F40" s="8" t="s">
        <v>143</v>
      </c>
      <c r="G40" s="8">
        <v>2</v>
      </c>
      <c r="H40" s="9">
        <v>11014.24</v>
      </c>
      <c r="I40" s="9">
        <v>11014.24</v>
      </c>
      <c r="J40" s="9">
        <v>11014.24</v>
      </c>
      <c r="L40" s="8"/>
    </row>
    <row r="41" spans="2:12" ht="17.399999999999999" customHeight="1">
      <c r="B41" s="7">
        <v>22</v>
      </c>
      <c r="C41" s="21" t="s">
        <v>52</v>
      </c>
      <c r="D41" s="8" t="s">
        <v>53</v>
      </c>
      <c r="E41" s="8" t="s">
        <v>54</v>
      </c>
      <c r="F41" s="8" t="s">
        <v>55</v>
      </c>
      <c r="G41" s="8">
        <v>1</v>
      </c>
      <c r="H41" s="9">
        <v>93847</v>
      </c>
      <c r="I41" s="9">
        <v>93847</v>
      </c>
      <c r="J41" s="9">
        <v>93847</v>
      </c>
      <c r="L41" s="8" t="s">
        <v>56</v>
      </c>
    </row>
    <row r="42" spans="2:12" ht="17.399999999999999" customHeight="1">
      <c r="B42" s="7">
        <v>23</v>
      </c>
      <c r="C42" s="21" t="s">
        <v>57</v>
      </c>
      <c r="D42" s="8" t="s">
        <v>58</v>
      </c>
      <c r="E42" s="8" t="s">
        <v>59</v>
      </c>
      <c r="F42" s="8" t="s">
        <v>60</v>
      </c>
      <c r="G42" s="8">
        <v>1</v>
      </c>
      <c r="H42" s="9">
        <v>4526</v>
      </c>
      <c r="I42" s="9">
        <v>4526</v>
      </c>
      <c r="J42" s="9">
        <v>4526</v>
      </c>
      <c r="L42" s="8"/>
    </row>
    <row r="43" spans="2:12" ht="17.399999999999999" customHeight="1">
      <c r="B43" s="7">
        <v>24</v>
      </c>
      <c r="C43" s="21" t="s">
        <v>61</v>
      </c>
      <c r="D43" s="8" t="s">
        <v>62</v>
      </c>
      <c r="E43" s="8" t="s">
        <v>63</v>
      </c>
      <c r="F43" s="8" t="s">
        <v>64</v>
      </c>
      <c r="G43" s="8">
        <v>14</v>
      </c>
      <c r="H43" s="9">
        <v>211232</v>
      </c>
      <c r="I43" s="9">
        <v>211232</v>
      </c>
      <c r="J43" s="9">
        <v>211232</v>
      </c>
      <c r="L43" s="8"/>
    </row>
    <row r="44" spans="2:12" ht="17.399999999999999" customHeight="1">
      <c r="B44" s="7">
        <v>25</v>
      </c>
      <c r="C44" s="21" t="s">
        <v>133</v>
      </c>
      <c r="D44" s="8" t="s">
        <v>138</v>
      </c>
      <c r="E44" s="8" t="s">
        <v>142</v>
      </c>
      <c r="F44" s="7" t="s">
        <v>106</v>
      </c>
      <c r="G44" s="8">
        <v>1</v>
      </c>
      <c r="H44" s="9">
        <v>1376779.93</v>
      </c>
      <c r="I44" s="9">
        <v>1376779.93</v>
      </c>
      <c r="J44" s="9">
        <v>1376779.93</v>
      </c>
      <c r="L44" s="8"/>
    </row>
    <row r="45" spans="2:12" ht="17.399999999999999" customHeight="1">
      <c r="B45" s="7">
        <v>26</v>
      </c>
      <c r="C45" s="21" t="s">
        <v>65</v>
      </c>
      <c r="D45" s="8" t="s">
        <v>66</v>
      </c>
      <c r="E45" s="8" t="s">
        <v>67</v>
      </c>
      <c r="F45" s="8" t="s">
        <v>68</v>
      </c>
      <c r="G45" s="8">
        <v>1</v>
      </c>
      <c r="H45" s="9">
        <v>18558</v>
      </c>
      <c r="I45" s="9">
        <v>18558</v>
      </c>
      <c r="J45" s="9">
        <v>18558</v>
      </c>
      <c r="L45" s="8" t="s">
        <v>69</v>
      </c>
    </row>
    <row r="46" spans="2:12" ht="17.399999999999999" customHeight="1">
      <c r="B46" s="33" t="s">
        <v>70</v>
      </c>
      <c r="C46" s="34"/>
      <c r="D46" s="34"/>
      <c r="E46" s="34"/>
      <c r="F46" s="35"/>
      <c r="G46" s="4" t="s">
        <v>20</v>
      </c>
      <c r="H46" s="5">
        <f>SUM(H47)</f>
        <v>2186260</v>
      </c>
      <c r="I46" s="5">
        <f>SUM(I47)</f>
        <v>1683407</v>
      </c>
      <c r="J46" s="5">
        <f>SUM(J47)</f>
        <v>1323708</v>
      </c>
      <c r="L46" s="6"/>
    </row>
    <row r="47" spans="2:12" ht="17.399999999999999">
      <c r="B47" s="7">
        <v>27</v>
      </c>
      <c r="C47" s="8" t="s">
        <v>71</v>
      </c>
      <c r="D47" s="8" t="s">
        <v>72</v>
      </c>
      <c r="E47" s="10" t="s">
        <v>116</v>
      </c>
      <c r="F47" s="10" t="s">
        <v>117</v>
      </c>
      <c r="G47" s="8">
        <v>1</v>
      </c>
      <c r="H47" s="9">
        <f>ROUND(H52*0.2,0)</f>
        <v>2186260</v>
      </c>
      <c r="I47" s="9">
        <f>ROUND(I52*0.2,0)</f>
        <v>1683407</v>
      </c>
      <c r="J47" s="9">
        <f>ROUND(J52*0.2,0)</f>
        <v>1323708</v>
      </c>
      <c r="L47" s="8"/>
    </row>
    <row r="48" spans="2:12" ht="17.399999999999999" customHeight="1">
      <c r="B48" s="33" t="s">
        <v>73</v>
      </c>
      <c r="C48" s="34"/>
      <c r="D48" s="34"/>
      <c r="E48" s="34"/>
      <c r="F48" s="35"/>
      <c r="G48" s="4" t="s">
        <v>20</v>
      </c>
      <c r="H48" s="5">
        <f>SUM(H49)</f>
        <v>45000000</v>
      </c>
      <c r="I48" s="5">
        <f>SUM(I49)</f>
        <v>45000000</v>
      </c>
      <c r="J48" s="5">
        <f>SUM(J49)</f>
        <v>45000000</v>
      </c>
      <c r="L48" s="6"/>
    </row>
    <row r="49" spans="2:13" ht="17.399999999999999" customHeight="1">
      <c r="B49" s="7">
        <v>28</v>
      </c>
      <c r="C49" s="8" t="s">
        <v>71</v>
      </c>
      <c r="D49" s="8" t="s">
        <v>74</v>
      </c>
      <c r="E49" s="8" t="s">
        <v>111</v>
      </c>
      <c r="F49" s="7" t="s">
        <v>106</v>
      </c>
      <c r="G49" s="8">
        <v>3</v>
      </c>
      <c r="H49" s="9">
        <v>45000000</v>
      </c>
      <c r="I49" s="9">
        <v>45000000</v>
      </c>
      <c r="J49" s="9">
        <v>45000000</v>
      </c>
      <c r="L49" s="8"/>
    </row>
    <row r="50" spans="2:13" ht="17.399999999999999" customHeight="1">
      <c r="B50" s="33" t="s">
        <v>75</v>
      </c>
      <c r="C50" s="34"/>
      <c r="D50" s="34"/>
      <c r="E50" s="34"/>
      <c r="F50" s="35"/>
      <c r="G50" s="4" t="s">
        <v>20</v>
      </c>
      <c r="H50" s="11">
        <f>SUM(H51)</f>
        <v>1218486.8810000001</v>
      </c>
      <c r="I50" s="11">
        <f>SUM(I51)</f>
        <v>379929.38100000005</v>
      </c>
      <c r="J50" s="11">
        <f>SUM(J51)</f>
        <v>379929.38100000005</v>
      </c>
      <c r="L50" s="6"/>
    </row>
    <row r="51" spans="2:13" ht="17.399999999999999" customHeight="1">
      <c r="B51" s="7">
        <v>29</v>
      </c>
      <c r="C51" s="8" t="s">
        <v>112</v>
      </c>
      <c r="D51" s="8" t="s">
        <v>106</v>
      </c>
      <c r="E51" s="12">
        <v>0.1</v>
      </c>
      <c r="F51" s="7" t="s">
        <v>106</v>
      </c>
      <c r="G51" s="7" t="s">
        <v>106</v>
      </c>
      <c r="H51" s="13">
        <f>SUM(H15:H19,H21:H25,H27:H30,H32:H37,H39:H45)*0.1</f>
        <v>1218486.8810000001</v>
      </c>
      <c r="I51" s="13">
        <f>SUM(I17,I19,I23+I17,I19,I23,I25,I29,I34,I36,I37,I39:I45,I27,I21,I15,I32)*0.1</f>
        <v>379929.38100000005</v>
      </c>
      <c r="J51" s="13">
        <f>SUM(J17,J19,J23+J17,J19,J23,J25,J29,J34,J36,J37,J39:J45,J27,J21,J15,J32)*0.1</f>
        <v>379929.38100000005</v>
      </c>
      <c r="L51" s="14"/>
    </row>
    <row r="52" spans="2:13" ht="17.399999999999999" customHeight="1">
      <c r="B52" s="37" t="s">
        <v>144</v>
      </c>
      <c r="C52" s="38"/>
      <c r="D52" s="38"/>
      <c r="E52" s="38"/>
      <c r="F52" s="15" t="s">
        <v>76</v>
      </c>
      <c r="G52" s="39" t="s">
        <v>77</v>
      </c>
      <c r="H52" s="16">
        <f>SUM(H15:H19,H21:H25,H27:H30,H33:H37,H39:H45)-H50</f>
        <v>10931302.329</v>
      </c>
      <c r="I52" s="16">
        <f>SUM(I15:I19,I21:I25,I27:I30,I33:I37,I39:I45)-I50</f>
        <v>8417033.8289999999</v>
      </c>
      <c r="J52" s="16">
        <f>SUM(J15:J19,J21:J25,J27:J30,J33:J37,J39:J45)-J50</f>
        <v>6618539.8289999999</v>
      </c>
    </row>
    <row r="53" spans="2:13" ht="17.399999999999999" customHeight="1">
      <c r="B53" s="38"/>
      <c r="C53" s="38"/>
      <c r="D53" s="38"/>
      <c r="E53" s="38"/>
      <c r="F53" s="15" t="s">
        <v>78</v>
      </c>
      <c r="G53" s="31"/>
      <c r="H53" s="16">
        <f>H46+H52</f>
        <v>13117562.329</v>
      </c>
      <c r="I53" s="16">
        <f>I46+I52</f>
        <v>10100440.829</v>
      </c>
      <c r="J53" s="16">
        <f>J46+J52</f>
        <v>7942247.8289999999</v>
      </c>
    </row>
    <row r="54" spans="2:13" ht="17.399999999999999" customHeight="1">
      <c r="B54" s="38"/>
      <c r="C54" s="38"/>
      <c r="D54" s="38"/>
      <c r="E54" s="38"/>
      <c r="F54" s="15" t="s">
        <v>79</v>
      </c>
      <c r="G54" s="32"/>
      <c r="H54" s="16">
        <f>H53+H48</f>
        <v>58117562.328999996</v>
      </c>
      <c r="I54" s="16">
        <f>I53+I48</f>
        <v>55100440.828999996</v>
      </c>
      <c r="J54" s="16">
        <f>J53+J48</f>
        <v>52942247.828999996</v>
      </c>
    </row>
    <row r="55" spans="2:13" ht="17.399999999999999" customHeight="1">
      <c r="B55" s="38"/>
      <c r="C55" s="38"/>
      <c r="D55" s="38"/>
      <c r="E55" s="38"/>
      <c r="F55" s="15" t="s">
        <v>80</v>
      </c>
      <c r="G55" s="39" t="s">
        <v>81</v>
      </c>
      <c r="H55" s="16">
        <f>H52*12</f>
        <v>131175627.948</v>
      </c>
      <c r="I55" s="16">
        <f>I52*12</f>
        <v>101004405.948</v>
      </c>
      <c r="J55" s="16">
        <f>J52*12</f>
        <v>79422477.947999999</v>
      </c>
      <c r="M55" t="s">
        <v>113</v>
      </c>
    </row>
    <row r="56" spans="2:13" ht="17.399999999999999" customHeight="1">
      <c r="B56" s="38"/>
      <c r="C56" s="38"/>
      <c r="D56" s="38"/>
      <c r="E56" s="38"/>
      <c r="F56" s="15" t="s">
        <v>82</v>
      </c>
      <c r="G56" s="31"/>
      <c r="H56" s="16">
        <f>H55+(H46*12)</f>
        <v>157410747.94800001</v>
      </c>
      <c r="I56" s="16">
        <f>I55+(I46*12)</f>
        <v>121205289.948</v>
      </c>
      <c r="J56" s="16">
        <f>J55+(J46*12)</f>
        <v>95306973.947999999</v>
      </c>
    </row>
    <row r="57" spans="2:13" ht="17.399999999999999" customHeight="1">
      <c r="B57" s="38"/>
      <c r="C57" s="38"/>
      <c r="D57" s="38"/>
      <c r="E57" s="38"/>
      <c r="F57" s="15" t="s">
        <v>83</v>
      </c>
      <c r="G57" s="32"/>
      <c r="H57" s="16">
        <f>H56+H48</f>
        <v>202410747.94800001</v>
      </c>
      <c r="I57" s="16">
        <f>I56+I48</f>
        <v>166205289.94800001</v>
      </c>
      <c r="J57" s="16">
        <f>J56+J48</f>
        <v>140306973.94800001</v>
      </c>
    </row>
    <row r="58" spans="2:13" ht="17.399999999999999" customHeight="1">
      <c r="B58" s="38"/>
      <c r="C58" s="38"/>
      <c r="D58" s="38"/>
      <c r="E58" s="38"/>
      <c r="F58" s="17" t="s">
        <v>76</v>
      </c>
      <c r="G58" s="30" t="s">
        <v>104</v>
      </c>
      <c r="H58" s="18">
        <f t="shared" ref="H58:J63" si="0">H52*1.1</f>
        <v>12024432.561900001</v>
      </c>
      <c r="I58" s="18">
        <f t="shared" si="0"/>
        <v>9258737.2119000014</v>
      </c>
      <c r="J58" s="18">
        <f t="shared" si="0"/>
        <v>7280393.8119000001</v>
      </c>
    </row>
    <row r="59" spans="2:13" ht="17.399999999999999" customHeight="1">
      <c r="B59" s="38"/>
      <c r="C59" s="38"/>
      <c r="D59" s="38"/>
      <c r="E59" s="38"/>
      <c r="F59" s="17" t="s">
        <v>78</v>
      </c>
      <c r="G59" s="31"/>
      <c r="H59" s="18">
        <f t="shared" si="0"/>
        <v>14429318.561900001</v>
      </c>
      <c r="I59" s="18">
        <f t="shared" si="0"/>
        <v>11110484.911900001</v>
      </c>
      <c r="J59" s="18">
        <f t="shared" si="0"/>
        <v>8736472.6118999999</v>
      </c>
    </row>
    <row r="60" spans="2:13" ht="17.399999999999999" customHeight="1">
      <c r="B60" s="38"/>
      <c r="C60" s="38"/>
      <c r="D60" s="38"/>
      <c r="E60" s="38"/>
      <c r="F60" s="17" t="s">
        <v>79</v>
      </c>
      <c r="G60" s="32"/>
      <c r="H60" s="18">
        <f t="shared" si="0"/>
        <v>63929318.561899997</v>
      </c>
      <c r="I60" s="18">
        <f t="shared" si="0"/>
        <v>60610484.911899999</v>
      </c>
      <c r="J60" s="18">
        <f t="shared" si="0"/>
        <v>58236472.611900002</v>
      </c>
    </row>
    <row r="61" spans="2:13" ht="17.399999999999999" customHeight="1">
      <c r="B61" s="38"/>
      <c r="C61" s="38"/>
      <c r="D61" s="38"/>
      <c r="E61" s="38"/>
      <c r="F61" s="17" t="s">
        <v>80</v>
      </c>
      <c r="G61" s="30" t="s">
        <v>105</v>
      </c>
      <c r="H61" s="18">
        <f t="shared" si="0"/>
        <v>144293190.7428</v>
      </c>
      <c r="I61" s="18">
        <f t="shared" si="0"/>
        <v>111104846.54280001</v>
      </c>
      <c r="J61" s="18">
        <f t="shared" si="0"/>
        <v>87364725.742800012</v>
      </c>
    </row>
    <row r="62" spans="2:13" ht="17.399999999999999" customHeight="1">
      <c r="B62" s="38"/>
      <c r="C62" s="38"/>
      <c r="D62" s="38"/>
      <c r="E62" s="38"/>
      <c r="F62" s="17" t="s">
        <v>82</v>
      </c>
      <c r="G62" s="31"/>
      <c r="H62" s="18">
        <f t="shared" si="0"/>
        <v>173151822.74280003</v>
      </c>
      <c r="I62" s="18">
        <f t="shared" si="0"/>
        <v>133325818.94280002</v>
      </c>
      <c r="J62" s="18">
        <f t="shared" si="0"/>
        <v>104837671.34280001</v>
      </c>
    </row>
    <row r="63" spans="2:13" ht="17.399999999999999" customHeight="1">
      <c r="B63" s="22" t="s">
        <v>103</v>
      </c>
      <c r="C63" s="22"/>
      <c r="D63" s="22"/>
      <c r="E63" s="22"/>
      <c r="F63" s="17" t="s">
        <v>83</v>
      </c>
      <c r="G63" s="32"/>
      <c r="H63" s="18">
        <f t="shared" si="0"/>
        <v>222651822.74280003</v>
      </c>
      <c r="I63" s="18">
        <f t="shared" si="0"/>
        <v>182825818.94280002</v>
      </c>
      <c r="J63" s="18">
        <f t="shared" si="0"/>
        <v>154337671.34280002</v>
      </c>
    </row>
  </sheetData>
  <mergeCells count="14">
    <mergeCell ref="B2:J4"/>
    <mergeCell ref="G61:G63"/>
    <mergeCell ref="B50:F50"/>
    <mergeCell ref="B14:F14"/>
    <mergeCell ref="B52:E62"/>
    <mergeCell ref="B48:F48"/>
    <mergeCell ref="G58:G60"/>
    <mergeCell ref="G52:G54"/>
    <mergeCell ref="G55:G57"/>
    <mergeCell ref="B46:F46"/>
    <mergeCell ref="B20:F20"/>
    <mergeCell ref="B26:F26"/>
    <mergeCell ref="B31:F31"/>
    <mergeCell ref="B38:F38"/>
  </mergeCells>
  <phoneticPr fontId="7" type="noConversion"/>
  <pageMargins left="0.25" right="0.25" top="0.75" bottom="0.75" header="0.5" footer="0.5"/>
  <pageSetup paperSize="9" scale="45" orientation="landscape" r:id="rId1"/>
  <colBreaks count="1" manualBreakCount="1">
    <brk id="11" max="5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F58E-5930-4D83-B599-2AE44FBCD51E}">
  <dimension ref="B2:M63"/>
  <sheetViews>
    <sheetView view="pageBreakPreview" topLeftCell="A27" zoomScale="55" zoomScaleNormal="100" zoomScaleSheetLayoutView="55" workbookViewId="0">
      <selection activeCell="B51" sqref="B51:J51"/>
    </sheetView>
  </sheetViews>
  <sheetFormatPr defaultRowHeight="14.4"/>
  <cols>
    <col min="1" max="1" width="2.77734375" customWidth="1"/>
    <col min="2" max="2" width="13.21875" customWidth="1"/>
    <col min="3" max="3" width="19.77734375" customWidth="1"/>
    <col min="4" max="4" width="50.21875" bestFit="1" customWidth="1"/>
    <col min="5" max="5" width="78.109375" customWidth="1"/>
    <col min="6" max="6" width="52.6640625" bestFit="1" customWidth="1"/>
    <col min="7" max="7" width="17.21875" customWidth="1"/>
    <col min="8" max="8" width="18" customWidth="1"/>
    <col min="9" max="9" width="17.44140625" customWidth="1"/>
    <col min="10" max="10" width="18.109375" bestFit="1" customWidth="1"/>
    <col min="11" max="11" width="2.77734375" customWidth="1"/>
    <col min="12" max="12" width="79.44140625" bestFit="1" customWidth="1"/>
    <col min="13" max="13" width="18.88671875" customWidth="1"/>
  </cols>
  <sheetData>
    <row r="2" spans="2:12" ht="17.399999999999999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2">
      <c r="B3" s="28"/>
      <c r="C3" s="28"/>
      <c r="D3" s="28"/>
      <c r="E3" s="28"/>
      <c r="F3" s="28"/>
      <c r="G3" s="28"/>
      <c r="H3" s="28"/>
      <c r="I3" s="28"/>
      <c r="J3" s="28"/>
    </row>
    <row r="4" spans="2:12" ht="14.4" customHeight="1" thickBot="1">
      <c r="B4" s="29"/>
      <c r="C4" s="29"/>
      <c r="D4" s="29"/>
      <c r="E4" s="29"/>
      <c r="F4" s="29"/>
      <c r="G4" s="29"/>
      <c r="H4" s="29"/>
      <c r="I4" s="29"/>
      <c r="J4" s="29"/>
    </row>
    <row r="5" spans="2:12" ht="14.4" customHeight="1" thickTop="1"/>
    <row r="6" spans="2:12" ht="15.6" customHeight="1">
      <c r="B6" s="1" t="s">
        <v>1</v>
      </c>
      <c r="C6" s="2" t="s">
        <v>108</v>
      </c>
    </row>
    <row r="7" spans="2:12" ht="15.6" customHeight="1">
      <c r="B7" s="1" t="s">
        <v>2</v>
      </c>
      <c r="C7" s="25" t="s">
        <v>3</v>
      </c>
    </row>
    <row r="8" spans="2:12" ht="15.6" customHeight="1">
      <c r="B8" s="1" t="s">
        <v>4</v>
      </c>
      <c r="C8" s="2" t="s">
        <v>107</v>
      </c>
    </row>
    <row r="9" spans="2:12" ht="15.6" customHeight="1">
      <c r="B9" s="1" t="s">
        <v>5</v>
      </c>
      <c r="C9" t="s">
        <v>106</v>
      </c>
    </row>
    <row r="10" spans="2:12" ht="15.6" customHeight="1">
      <c r="B10" s="1" t="s">
        <v>6</v>
      </c>
      <c r="C10" s="2" t="s">
        <v>7</v>
      </c>
    </row>
    <row r="11" spans="2:12" ht="15.6" customHeight="1">
      <c r="B11" s="1" t="s">
        <v>8</v>
      </c>
      <c r="C11" s="2" t="s">
        <v>9</v>
      </c>
    </row>
    <row r="13" spans="2:12" ht="17.399999999999999" customHeight="1"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16</v>
      </c>
      <c r="I13" s="3" t="s">
        <v>121</v>
      </c>
      <c r="J13" s="3" t="s">
        <v>17</v>
      </c>
      <c r="L13" s="3" t="s">
        <v>18</v>
      </c>
    </row>
    <row r="14" spans="2:12" ht="17.399999999999999" customHeight="1">
      <c r="B14" s="36" t="s">
        <v>19</v>
      </c>
      <c r="C14" s="34"/>
      <c r="D14" s="34"/>
      <c r="E14" s="34"/>
      <c r="F14" s="34"/>
      <c r="G14" s="4" t="s">
        <v>20</v>
      </c>
      <c r="H14" s="5">
        <f>SUM(H15:H19)</f>
        <v>3718408</v>
      </c>
      <c r="I14" s="5">
        <f>SUM(I16:I19)</f>
        <v>1375816</v>
      </c>
      <c r="J14" s="5">
        <f>SUM(J16:J19)</f>
        <v>1375816</v>
      </c>
      <c r="L14" s="6"/>
    </row>
    <row r="15" spans="2:12" ht="17.399999999999999" customHeight="1">
      <c r="B15" s="7">
        <v>1</v>
      </c>
      <c r="C15" s="8" t="s">
        <v>145</v>
      </c>
      <c r="D15" s="8" t="s">
        <v>157</v>
      </c>
      <c r="E15" s="8" t="s">
        <v>164</v>
      </c>
      <c r="F15" s="8" t="s">
        <v>165</v>
      </c>
      <c r="G15" s="8" t="s">
        <v>166</v>
      </c>
      <c r="H15" s="9" t="s">
        <v>167</v>
      </c>
      <c r="I15" s="9" t="s">
        <v>167</v>
      </c>
      <c r="J15" s="9" t="s">
        <v>167</v>
      </c>
      <c r="L15" s="6"/>
    </row>
    <row r="16" spans="2:12" ht="17.399999999999999" customHeight="1">
      <c r="B16" s="7">
        <v>2</v>
      </c>
      <c r="C16" s="8" t="s">
        <v>21</v>
      </c>
      <c r="D16" s="8" t="s">
        <v>158</v>
      </c>
      <c r="E16" s="8" t="s">
        <v>159</v>
      </c>
      <c r="F16" s="8" t="s">
        <v>23</v>
      </c>
      <c r="G16" s="8" t="s">
        <v>166</v>
      </c>
      <c r="H16" s="9">
        <v>1039746</v>
      </c>
      <c r="I16" s="9">
        <v>384702</v>
      </c>
      <c r="J16" s="9">
        <v>384702</v>
      </c>
      <c r="L16" s="8"/>
    </row>
    <row r="17" spans="2:12" ht="17.399999999999999" customHeight="1">
      <c r="B17" s="7">
        <v>3</v>
      </c>
      <c r="C17" s="8" t="s">
        <v>24</v>
      </c>
      <c r="D17" s="8" t="s">
        <v>160</v>
      </c>
      <c r="E17" s="8" t="s">
        <v>25</v>
      </c>
      <c r="F17" s="8" t="s">
        <v>168</v>
      </c>
      <c r="G17" s="8" t="s">
        <v>166</v>
      </c>
      <c r="H17" s="9" t="s">
        <v>169</v>
      </c>
      <c r="I17" s="9" t="s">
        <v>169</v>
      </c>
      <c r="J17" s="9" t="s">
        <v>169</v>
      </c>
      <c r="L17" s="8"/>
    </row>
    <row r="18" spans="2:12" ht="17.399999999999999" customHeight="1">
      <c r="B18" s="7">
        <v>4</v>
      </c>
      <c r="C18" s="8" t="s">
        <v>21</v>
      </c>
      <c r="D18" s="8" t="s">
        <v>161</v>
      </c>
      <c r="E18" s="8" t="s">
        <v>162</v>
      </c>
      <c r="F18" s="8" t="s">
        <v>28</v>
      </c>
      <c r="G18" s="8" t="s">
        <v>166</v>
      </c>
      <c r="H18" s="9">
        <v>2678662</v>
      </c>
      <c r="I18" s="9">
        <v>991114</v>
      </c>
      <c r="J18" s="9">
        <v>991114</v>
      </c>
      <c r="L18" s="8"/>
    </row>
    <row r="19" spans="2:12" ht="17.399999999999999" customHeight="1">
      <c r="B19" s="7">
        <v>5</v>
      </c>
      <c r="C19" s="8" t="s">
        <v>24</v>
      </c>
      <c r="D19" s="8" t="s">
        <v>163</v>
      </c>
      <c r="E19" s="8" t="s">
        <v>29</v>
      </c>
      <c r="F19" s="8" t="s">
        <v>170</v>
      </c>
      <c r="G19" s="8" t="s">
        <v>166</v>
      </c>
      <c r="H19" s="9" t="s">
        <v>171</v>
      </c>
      <c r="I19" s="9" t="s">
        <v>171</v>
      </c>
      <c r="J19" s="9" t="s">
        <v>171</v>
      </c>
      <c r="L19" s="8"/>
    </row>
    <row r="20" spans="2:12" ht="17.399999999999999" customHeight="1">
      <c r="B20" s="36" t="s">
        <v>31</v>
      </c>
      <c r="C20" s="40"/>
      <c r="D20" s="40"/>
      <c r="E20" s="40"/>
      <c r="F20" s="41"/>
      <c r="G20" s="4" t="s">
        <v>20</v>
      </c>
      <c r="H20" s="5">
        <f>SUM(H21:H25)</f>
        <v>2079485</v>
      </c>
      <c r="I20" s="5">
        <f>SUM(I22:I25)</f>
        <v>769404</v>
      </c>
      <c r="J20" s="5">
        <f>SUM(J22:J25)</f>
        <v>769404</v>
      </c>
      <c r="L20" s="6"/>
    </row>
    <row r="21" spans="2:12" ht="17.399999999999999" customHeight="1">
      <c r="B21" s="7">
        <v>6</v>
      </c>
      <c r="C21" s="8" t="s">
        <v>145</v>
      </c>
      <c r="D21" s="8" t="s">
        <v>157</v>
      </c>
      <c r="E21" s="8" t="s">
        <v>164</v>
      </c>
      <c r="F21" s="8" t="s">
        <v>165</v>
      </c>
      <c r="G21" s="8" t="s">
        <v>166</v>
      </c>
      <c r="H21" s="9" t="s">
        <v>167</v>
      </c>
      <c r="I21" s="9" t="s">
        <v>167</v>
      </c>
      <c r="J21" s="9" t="s">
        <v>167</v>
      </c>
      <c r="L21" s="6"/>
    </row>
    <row r="22" spans="2:12" ht="17.399999999999999" customHeight="1">
      <c r="B22" s="7">
        <v>7</v>
      </c>
      <c r="C22" s="8" t="s">
        <v>21</v>
      </c>
      <c r="D22" s="8" t="s">
        <v>172</v>
      </c>
      <c r="E22" s="8" t="s">
        <v>22</v>
      </c>
      <c r="F22" s="8" t="s">
        <v>173</v>
      </c>
      <c r="G22" s="8" t="s">
        <v>166</v>
      </c>
      <c r="H22" s="9" t="s">
        <v>174</v>
      </c>
      <c r="I22" s="9" t="s">
        <v>175</v>
      </c>
      <c r="J22" s="9" t="s">
        <v>176</v>
      </c>
      <c r="L22" s="8"/>
    </row>
    <row r="23" spans="2:12" ht="17.399999999999999" customHeight="1">
      <c r="B23" s="7">
        <v>8</v>
      </c>
      <c r="C23" s="8" t="s">
        <v>24</v>
      </c>
      <c r="D23" s="8" t="s">
        <v>160</v>
      </c>
      <c r="E23" s="8" t="s">
        <v>25</v>
      </c>
      <c r="F23" s="8" t="s">
        <v>168</v>
      </c>
      <c r="G23" s="8" t="s">
        <v>166</v>
      </c>
      <c r="H23" s="9" t="s">
        <v>169</v>
      </c>
      <c r="I23" s="9" t="s">
        <v>169</v>
      </c>
      <c r="J23" s="9" t="s">
        <v>169</v>
      </c>
      <c r="L23" s="8"/>
    </row>
    <row r="24" spans="2:12" ht="17.399999999999999" customHeight="1">
      <c r="B24" s="7">
        <v>9</v>
      </c>
      <c r="C24" s="8" t="s">
        <v>21</v>
      </c>
      <c r="D24" s="8" t="s">
        <v>177</v>
      </c>
      <c r="E24" s="8" t="s">
        <v>178</v>
      </c>
      <c r="F24" s="8" t="s">
        <v>23</v>
      </c>
      <c r="G24" s="8" t="s">
        <v>166</v>
      </c>
      <c r="H24" s="9">
        <v>2079485</v>
      </c>
      <c r="I24" s="9">
        <v>769404</v>
      </c>
      <c r="J24" s="9">
        <v>769404</v>
      </c>
      <c r="L24" s="8"/>
    </row>
    <row r="25" spans="2:12" ht="17.399999999999999" customHeight="1">
      <c r="B25" s="7">
        <v>10</v>
      </c>
      <c r="C25" s="8" t="s">
        <v>24</v>
      </c>
      <c r="D25" s="8" t="s">
        <v>163</v>
      </c>
      <c r="E25" s="8" t="s">
        <v>29</v>
      </c>
      <c r="F25" s="8" t="s">
        <v>170</v>
      </c>
      <c r="G25" s="8" t="s">
        <v>166</v>
      </c>
      <c r="H25" s="9" t="s">
        <v>171</v>
      </c>
      <c r="I25" s="9" t="s">
        <v>171</v>
      </c>
      <c r="J25" s="9" t="s">
        <v>171</v>
      </c>
      <c r="L25" s="8"/>
    </row>
    <row r="26" spans="2:12" ht="17.399999999999999" customHeight="1">
      <c r="B26" s="36" t="s">
        <v>33</v>
      </c>
      <c r="C26" s="40"/>
      <c r="D26" s="40"/>
      <c r="E26" s="40"/>
      <c r="F26" s="41"/>
      <c r="G26" s="4" t="s">
        <v>20</v>
      </c>
      <c r="H26" s="5">
        <f>SUM(H27:H30)</f>
        <v>5357324</v>
      </c>
      <c r="I26" s="5">
        <f>SUM(I28:I29)</f>
        <v>1982228</v>
      </c>
      <c r="J26" s="5">
        <f>SUM(J28:J29)</f>
        <v>1982228</v>
      </c>
      <c r="L26" s="6"/>
    </row>
    <row r="27" spans="2:12" ht="17.399999999999999" customHeight="1">
      <c r="B27" s="7">
        <v>11</v>
      </c>
      <c r="C27" s="8" t="s">
        <v>145</v>
      </c>
      <c r="D27" s="8" t="s">
        <v>157</v>
      </c>
      <c r="E27" s="8" t="s">
        <v>179</v>
      </c>
      <c r="F27" s="8" t="s">
        <v>165</v>
      </c>
      <c r="G27" s="8" t="s">
        <v>180</v>
      </c>
      <c r="H27" s="9" t="s">
        <v>181</v>
      </c>
      <c r="I27" s="9" t="s">
        <v>181</v>
      </c>
      <c r="J27" s="9" t="s">
        <v>181</v>
      </c>
      <c r="L27" s="6"/>
    </row>
    <row r="28" spans="2:12" ht="17.399999999999999" customHeight="1">
      <c r="B28" s="7">
        <v>12</v>
      </c>
      <c r="C28" s="8" t="s">
        <v>21</v>
      </c>
      <c r="D28" s="8" t="s">
        <v>182</v>
      </c>
      <c r="E28" s="8" t="s">
        <v>183</v>
      </c>
      <c r="F28" s="8" t="s">
        <v>35</v>
      </c>
      <c r="G28" s="8" t="s">
        <v>166</v>
      </c>
      <c r="H28" s="9">
        <v>5357324</v>
      </c>
      <c r="I28" s="9">
        <v>1982228</v>
      </c>
      <c r="J28" s="9">
        <v>1982228</v>
      </c>
      <c r="L28" s="8"/>
    </row>
    <row r="29" spans="2:12" ht="17.399999999999999" customHeight="1">
      <c r="B29" s="7">
        <v>13</v>
      </c>
      <c r="C29" s="8" t="s">
        <v>24</v>
      </c>
      <c r="D29" s="8" t="s">
        <v>184</v>
      </c>
      <c r="E29" s="8" t="s">
        <v>36</v>
      </c>
      <c r="F29" s="8" t="s">
        <v>185</v>
      </c>
      <c r="G29" s="8" t="s">
        <v>166</v>
      </c>
      <c r="H29" s="9" t="s">
        <v>186</v>
      </c>
      <c r="I29" s="9" t="s">
        <v>186</v>
      </c>
      <c r="J29" s="9" t="s">
        <v>186</v>
      </c>
      <c r="L29" s="8"/>
    </row>
    <row r="30" spans="2:12" ht="17.399999999999999" customHeight="1">
      <c r="B30" s="7">
        <v>14</v>
      </c>
      <c r="C30" s="8" t="s">
        <v>187</v>
      </c>
      <c r="D30" s="8" t="s">
        <v>188</v>
      </c>
      <c r="E30" s="8" t="s">
        <v>189</v>
      </c>
      <c r="F30" s="8" t="s">
        <v>190</v>
      </c>
      <c r="G30" s="8" t="s">
        <v>191</v>
      </c>
      <c r="H30" s="9" t="s">
        <v>192</v>
      </c>
      <c r="I30" s="9" t="s">
        <v>192</v>
      </c>
      <c r="J30" s="9" t="s">
        <v>192</v>
      </c>
      <c r="L30" s="8"/>
    </row>
    <row r="31" spans="2:12" ht="17.399999999999999" customHeight="1">
      <c r="B31" s="33" t="s">
        <v>38</v>
      </c>
      <c r="C31" s="33"/>
      <c r="D31" s="33"/>
      <c r="E31" s="33"/>
      <c r="F31" s="33"/>
      <c r="G31" s="4" t="s">
        <v>20</v>
      </c>
      <c r="H31" s="5">
        <f>SUM(H32:H37)</f>
        <v>4158970</v>
      </c>
      <c r="I31" s="5">
        <f>SUM(I32:I37)</f>
        <v>1538808</v>
      </c>
      <c r="J31" s="5">
        <f>SUM(J32:J37)</f>
        <v>1538808</v>
      </c>
      <c r="L31" s="6"/>
    </row>
    <row r="32" spans="2:12" ht="17.399999999999999" customHeight="1">
      <c r="B32" s="7">
        <v>11</v>
      </c>
      <c r="C32" s="8" t="s">
        <v>145</v>
      </c>
      <c r="D32" s="8" t="s">
        <v>157</v>
      </c>
      <c r="E32" s="8" t="s">
        <v>193</v>
      </c>
      <c r="F32" s="8" t="s">
        <v>165</v>
      </c>
      <c r="G32" s="8" t="s">
        <v>180</v>
      </c>
      <c r="H32" s="9" t="s">
        <v>181</v>
      </c>
      <c r="I32" s="9" t="s">
        <v>181</v>
      </c>
      <c r="J32" s="9" t="s">
        <v>181</v>
      </c>
      <c r="L32" s="6"/>
    </row>
    <row r="33" spans="2:12" ht="17.399999999999999" customHeight="1">
      <c r="B33" s="7">
        <v>15</v>
      </c>
      <c r="C33" s="8" t="s">
        <v>21</v>
      </c>
      <c r="D33" s="8" t="s">
        <v>194</v>
      </c>
      <c r="E33" s="8" t="s">
        <v>178</v>
      </c>
      <c r="F33" s="8" t="s">
        <v>39</v>
      </c>
      <c r="G33" s="8" t="s">
        <v>166</v>
      </c>
      <c r="H33" s="9">
        <v>2079485</v>
      </c>
      <c r="I33" s="9">
        <v>769404</v>
      </c>
      <c r="J33" s="9">
        <v>769404</v>
      </c>
      <c r="L33" s="8"/>
    </row>
    <row r="34" spans="2:12" ht="17.399999999999999" customHeight="1">
      <c r="B34" s="7">
        <v>16</v>
      </c>
      <c r="C34" s="8" t="s">
        <v>24</v>
      </c>
      <c r="D34" s="8" t="s">
        <v>40</v>
      </c>
      <c r="E34" s="8" t="s">
        <v>36</v>
      </c>
      <c r="F34" s="8" t="s">
        <v>195</v>
      </c>
      <c r="G34" s="8" t="s">
        <v>166</v>
      </c>
      <c r="H34" s="9" t="s">
        <v>186</v>
      </c>
      <c r="I34" s="9" t="s">
        <v>186</v>
      </c>
      <c r="J34" s="9" t="s">
        <v>186</v>
      </c>
      <c r="L34" s="8"/>
    </row>
    <row r="35" spans="2:12" ht="17.399999999999999" customHeight="1">
      <c r="B35" s="7">
        <v>17</v>
      </c>
      <c r="C35" s="8" t="s">
        <v>21</v>
      </c>
      <c r="D35" s="8" t="s">
        <v>196</v>
      </c>
      <c r="E35" s="8" t="s">
        <v>178</v>
      </c>
      <c r="F35" s="8" t="s">
        <v>197</v>
      </c>
      <c r="G35" s="8" t="s">
        <v>166</v>
      </c>
      <c r="H35" s="9">
        <v>2079485</v>
      </c>
      <c r="I35" s="9">
        <v>769404</v>
      </c>
      <c r="J35" s="9">
        <v>769404</v>
      </c>
      <c r="L35" s="8"/>
    </row>
    <row r="36" spans="2:12" ht="17.399999999999999" customHeight="1">
      <c r="B36" s="7">
        <v>18</v>
      </c>
      <c r="C36" s="8" t="s">
        <v>24</v>
      </c>
      <c r="D36" s="8" t="s">
        <v>43</v>
      </c>
      <c r="E36" s="8" t="s">
        <v>36</v>
      </c>
      <c r="F36" s="8" t="s">
        <v>198</v>
      </c>
      <c r="G36" s="8" t="s">
        <v>166</v>
      </c>
      <c r="H36" s="9" t="s">
        <v>186</v>
      </c>
      <c r="I36" s="9" t="s">
        <v>186</v>
      </c>
      <c r="J36" s="9" t="s">
        <v>186</v>
      </c>
      <c r="L36" s="8"/>
    </row>
    <row r="37" spans="2:12" ht="17.399999999999999" customHeight="1">
      <c r="B37" s="23">
        <v>19</v>
      </c>
      <c r="C37" t="s">
        <v>45</v>
      </c>
      <c r="D37" s="24" t="s">
        <v>46</v>
      </c>
      <c r="E37" s="24" t="s">
        <v>199</v>
      </c>
      <c r="F37" s="24" t="s">
        <v>200</v>
      </c>
      <c r="G37" s="8" t="s">
        <v>180</v>
      </c>
      <c r="H37" s="9" t="s">
        <v>201</v>
      </c>
      <c r="I37" s="9" t="s">
        <v>201</v>
      </c>
      <c r="J37" s="9" t="s">
        <v>201</v>
      </c>
      <c r="L37" s="8"/>
    </row>
    <row r="38" spans="2:12" ht="17.399999999999999" customHeight="1">
      <c r="B38" s="33" t="s">
        <v>48</v>
      </c>
      <c r="C38" s="33"/>
      <c r="D38" s="33"/>
      <c r="E38" s="33"/>
      <c r="F38" s="33"/>
      <c r="G38" s="4" t="s">
        <v>20</v>
      </c>
      <c r="H38" s="5">
        <f>SUM(H39:H45)</f>
        <v>2251249.21</v>
      </c>
      <c r="I38" s="5">
        <f>SUM(I39:I45)</f>
        <v>2251249.21</v>
      </c>
      <c r="J38" s="5">
        <f>SUM(J39:J45)</f>
        <v>2251249.21</v>
      </c>
      <c r="L38" s="6"/>
    </row>
    <row r="39" spans="2:12" ht="17.399999999999999" customHeight="1">
      <c r="B39" s="7">
        <v>20</v>
      </c>
      <c r="C39" s="8" t="s">
        <v>115</v>
      </c>
      <c r="D39" s="8" t="s">
        <v>114</v>
      </c>
      <c r="E39" s="8" t="s">
        <v>134</v>
      </c>
      <c r="F39" s="7" t="s">
        <v>106</v>
      </c>
      <c r="G39" s="8">
        <v>1</v>
      </c>
      <c r="H39" s="9">
        <v>535292.04</v>
      </c>
      <c r="I39" s="9">
        <v>535292.04</v>
      </c>
      <c r="J39" s="9">
        <v>535292.04</v>
      </c>
      <c r="L39" s="8"/>
    </row>
    <row r="40" spans="2:12" ht="17.399999999999999" customHeight="1">
      <c r="B40" s="7">
        <v>21</v>
      </c>
      <c r="C40" s="8" t="s">
        <v>49</v>
      </c>
      <c r="D40" s="8" t="s">
        <v>50</v>
      </c>
      <c r="E40" s="8" t="s">
        <v>51</v>
      </c>
      <c r="F40" s="8" t="s">
        <v>143</v>
      </c>
      <c r="G40" s="8">
        <v>2</v>
      </c>
      <c r="H40" s="9">
        <v>11014.24</v>
      </c>
      <c r="I40" s="9">
        <v>11014.24</v>
      </c>
      <c r="J40" s="9">
        <v>11014.24</v>
      </c>
      <c r="L40" s="8"/>
    </row>
    <row r="41" spans="2:12" ht="17.399999999999999" customHeight="1">
      <c r="B41" s="7">
        <v>22</v>
      </c>
      <c r="C41" s="21" t="s">
        <v>52</v>
      </c>
      <c r="D41" s="8" t="s">
        <v>53</v>
      </c>
      <c r="E41" s="8" t="s">
        <v>54</v>
      </c>
      <c r="F41" s="8" t="s">
        <v>55</v>
      </c>
      <c r="G41" s="8">
        <v>1</v>
      </c>
      <c r="H41" s="9">
        <v>93847</v>
      </c>
      <c r="I41" s="9">
        <v>93847</v>
      </c>
      <c r="J41" s="9">
        <v>93847</v>
      </c>
      <c r="L41" s="8" t="s">
        <v>56</v>
      </c>
    </row>
    <row r="42" spans="2:12" ht="17.399999999999999" customHeight="1">
      <c r="B42" s="7">
        <v>23</v>
      </c>
      <c r="C42" s="21" t="s">
        <v>57</v>
      </c>
      <c r="D42" s="8" t="s">
        <v>58</v>
      </c>
      <c r="E42" s="8" t="s">
        <v>59</v>
      </c>
      <c r="F42" s="8" t="s">
        <v>60</v>
      </c>
      <c r="G42" s="8">
        <v>1</v>
      </c>
      <c r="H42" s="9">
        <v>4526</v>
      </c>
      <c r="I42" s="9">
        <v>4526</v>
      </c>
      <c r="J42" s="9">
        <v>4526</v>
      </c>
      <c r="L42" s="8"/>
    </row>
    <row r="43" spans="2:12" ht="17.399999999999999" customHeight="1">
      <c r="B43" s="7">
        <v>24</v>
      </c>
      <c r="C43" s="21" t="s">
        <v>61</v>
      </c>
      <c r="D43" s="8" t="s">
        <v>62</v>
      </c>
      <c r="E43" s="8" t="s">
        <v>63</v>
      </c>
      <c r="F43" s="8" t="s">
        <v>64</v>
      </c>
      <c r="G43" s="8">
        <v>14</v>
      </c>
      <c r="H43" s="9">
        <v>211232</v>
      </c>
      <c r="I43" s="9">
        <v>211232</v>
      </c>
      <c r="J43" s="9">
        <v>211232</v>
      </c>
      <c r="L43" s="8"/>
    </row>
    <row r="44" spans="2:12" ht="17.399999999999999" customHeight="1">
      <c r="B44" s="7">
        <v>25</v>
      </c>
      <c r="C44" s="21" t="s">
        <v>133</v>
      </c>
      <c r="D44" s="8" t="s">
        <v>138</v>
      </c>
      <c r="E44" s="8" t="s">
        <v>142</v>
      </c>
      <c r="F44" s="7" t="s">
        <v>106</v>
      </c>
      <c r="G44" s="8">
        <v>1</v>
      </c>
      <c r="H44" s="9">
        <v>1376779.93</v>
      </c>
      <c r="I44" s="9">
        <v>1376779.93</v>
      </c>
      <c r="J44" s="9">
        <v>1376779.93</v>
      </c>
      <c r="L44" s="8"/>
    </row>
    <row r="45" spans="2:12" ht="17.399999999999999" customHeight="1">
      <c r="B45" s="7">
        <v>26</v>
      </c>
      <c r="C45" s="21" t="s">
        <v>65</v>
      </c>
      <c r="D45" s="8" t="s">
        <v>66</v>
      </c>
      <c r="E45" s="8" t="s">
        <v>67</v>
      </c>
      <c r="F45" s="8" t="s">
        <v>68</v>
      </c>
      <c r="G45" s="8">
        <v>1</v>
      </c>
      <c r="H45" s="9">
        <v>18558</v>
      </c>
      <c r="I45" s="9">
        <v>18558</v>
      </c>
      <c r="J45" s="9">
        <v>18558</v>
      </c>
      <c r="L45" s="8" t="s">
        <v>69</v>
      </c>
    </row>
    <row r="46" spans="2:12" ht="17.399999999999999" customHeight="1">
      <c r="B46" s="33" t="s">
        <v>70</v>
      </c>
      <c r="C46" s="34"/>
      <c r="D46" s="34"/>
      <c r="E46" s="34"/>
      <c r="F46" s="35"/>
      <c r="G46" s="4" t="s">
        <v>20</v>
      </c>
      <c r="H46" s="5">
        <f>SUM(H47)</f>
        <v>3968393</v>
      </c>
      <c r="I46" s="5">
        <f>SUM(I47)</f>
        <v>1996090</v>
      </c>
      <c r="J46" s="5">
        <f>SUM(J47)</f>
        <v>1973307</v>
      </c>
      <c r="L46" s="6"/>
    </row>
    <row r="47" spans="2:12" ht="17.399999999999999">
      <c r="B47" s="7">
        <v>27</v>
      </c>
      <c r="C47" s="8" t="s">
        <v>71</v>
      </c>
      <c r="D47" s="8" t="s">
        <v>72</v>
      </c>
      <c r="E47" s="10" t="s">
        <v>202</v>
      </c>
      <c r="F47" s="10" t="s">
        <v>203</v>
      </c>
      <c r="G47" s="8">
        <v>1</v>
      </c>
      <c r="H47" s="9">
        <v>3968393</v>
      </c>
      <c r="I47" s="9">
        <v>1996090</v>
      </c>
      <c r="J47" s="9">
        <v>1973307</v>
      </c>
      <c r="L47" s="8"/>
    </row>
    <row r="48" spans="2:12" ht="17.399999999999999" customHeight="1">
      <c r="B48" s="33" t="s">
        <v>73</v>
      </c>
      <c r="C48" s="34"/>
      <c r="D48" s="34"/>
      <c r="E48" s="34"/>
      <c r="F48" s="35"/>
      <c r="G48" s="4" t="s">
        <v>20</v>
      </c>
      <c r="H48" s="5">
        <f>SUM(H49)</f>
        <v>45000000</v>
      </c>
      <c r="I48" s="5">
        <f>SUM(I49)</f>
        <v>45000000</v>
      </c>
      <c r="J48" s="5">
        <f>SUM(J49)</f>
        <v>45000000</v>
      </c>
      <c r="L48" s="6"/>
    </row>
    <row r="49" spans="2:13" ht="17.399999999999999" customHeight="1">
      <c r="B49" s="7">
        <v>28</v>
      </c>
      <c r="C49" s="8" t="s">
        <v>71</v>
      </c>
      <c r="D49" s="8" t="s">
        <v>74</v>
      </c>
      <c r="E49" s="8" t="s">
        <v>111</v>
      </c>
      <c r="F49" s="7" t="s">
        <v>106</v>
      </c>
      <c r="G49" s="8">
        <v>3</v>
      </c>
      <c r="H49" s="9">
        <v>45000000</v>
      </c>
      <c r="I49" s="9">
        <v>45000000</v>
      </c>
      <c r="J49" s="9">
        <v>45000000</v>
      </c>
      <c r="L49" s="8"/>
    </row>
    <row r="50" spans="2:13" ht="17.399999999999999" customHeight="1">
      <c r="B50" s="33" t="s">
        <v>75</v>
      </c>
      <c r="C50" s="34"/>
      <c r="D50" s="34"/>
      <c r="E50" s="34"/>
      <c r="F50" s="35"/>
      <c r="G50" s="4" t="s">
        <v>20</v>
      </c>
      <c r="H50" s="11">
        <f>SUM(H51)</f>
        <v>1983197</v>
      </c>
      <c r="I50" s="11">
        <f>SUM(I51)</f>
        <v>998045</v>
      </c>
      <c r="J50" s="11">
        <f>SUM(J51)</f>
        <v>986654</v>
      </c>
      <c r="L50" s="6"/>
    </row>
    <row r="51" spans="2:13" ht="17.399999999999999" customHeight="1">
      <c r="B51" s="7">
        <v>29</v>
      </c>
      <c r="C51" s="8" t="s">
        <v>204</v>
      </c>
      <c r="D51" s="8" t="s">
        <v>205</v>
      </c>
      <c r="E51" s="12">
        <v>0.1</v>
      </c>
      <c r="F51" s="7" t="s">
        <v>205</v>
      </c>
      <c r="G51" s="7" t="s">
        <v>205</v>
      </c>
      <c r="H51" s="13">
        <v>1983197</v>
      </c>
      <c r="I51" s="13">
        <v>998045</v>
      </c>
      <c r="J51" s="13">
        <v>986654</v>
      </c>
      <c r="L51" s="14"/>
    </row>
    <row r="52" spans="2:13" ht="17.399999999999999" customHeight="1">
      <c r="B52" s="37" t="s">
        <v>144</v>
      </c>
      <c r="C52" s="38"/>
      <c r="D52" s="38"/>
      <c r="E52" s="38"/>
      <c r="F52" s="15" t="s">
        <v>76</v>
      </c>
      <c r="G52" s="39" t="s">
        <v>77</v>
      </c>
      <c r="H52" s="16">
        <f>SUM(H15:H19,H21:H25,H27:H30,H33:H37,H39:H45)-H50</f>
        <v>15582239.210000001</v>
      </c>
      <c r="I52" s="16">
        <f>SUM(I15:I19,I21:I25,I27:I30,I33:I37,I39:I45)-I50</f>
        <v>6919460.21</v>
      </c>
      <c r="J52" s="16">
        <f>SUM(J15:J19,J21:J25,J27:J30,J33:J37,J39:J45)-J50</f>
        <v>6930851.21</v>
      </c>
    </row>
    <row r="53" spans="2:13" ht="17.399999999999999" customHeight="1">
      <c r="B53" s="38"/>
      <c r="C53" s="38"/>
      <c r="D53" s="38"/>
      <c r="E53" s="38"/>
      <c r="F53" s="15" t="s">
        <v>78</v>
      </c>
      <c r="G53" s="31"/>
      <c r="H53" s="16">
        <f>H46+H52</f>
        <v>19550632.210000001</v>
      </c>
      <c r="I53" s="16">
        <f>I46+I52</f>
        <v>8915550.2100000009</v>
      </c>
      <c r="J53" s="16">
        <f>J46+J52</f>
        <v>8904158.2100000009</v>
      </c>
    </row>
    <row r="54" spans="2:13" ht="17.399999999999999" customHeight="1">
      <c r="B54" s="38"/>
      <c r="C54" s="38"/>
      <c r="D54" s="38"/>
      <c r="E54" s="38"/>
      <c r="F54" s="15" t="s">
        <v>79</v>
      </c>
      <c r="G54" s="32"/>
      <c r="H54" s="16">
        <f>H53+H48</f>
        <v>64550632.210000001</v>
      </c>
      <c r="I54" s="16">
        <f>I53+I48</f>
        <v>53915550.210000001</v>
      </c>
      <c r="J54" s="16">
        <f>J53+J48</f>
        <v>53904158.210000001</v>
      </c>
    </row>
    <row r="55" spans="2:13" ht="17.399999999999999" customHeight="1">
      <c r="B55" s="38"/>
      <c r="C55" s="38"/>
      <c r="D55" s="38"/>
      <c r="E55" s="38"/>
      <c r="F55" s="15" t="s">
        <v>80</v>
      </c>
      <c r="G55" s="39" t="s">
        <v>81</v>
      </c>
      <c r="H55" s="16">
        <f>H52*12</f>
        <v>186986870.52000001</v>
      </c>
      <c r="I55" s="16">
        <f>I52*12</f>
        <v>83033522.519999996</v>
      </c>
      <c r="J55" s="16">
        <f>J52*12</f>
        <v>83170214.519999996</v>
      </c>
      <c r="M55" t="s">
        <v>113</v>
      </c>
    </row>
    <row r="56" spans="2:13" ht="17.399999999999999" customHeight="1">
      <c r="B56" s="38"/>
      <c r="C56" s="38"/>
      <c r="D56" s="38"/>
      <c r="E56" s="38"/>
      <c r="F56" s="15" t="s">
        <v>82</v>
      </c>
      <c r="G56" s="31"/>
      <c r="H56" s="16">
        <f>H55+(H46*12)</f>
        <v>234607586.52000001</v>
      </c>
      <c r="I56" s="16">
        <f>I55+(I46*12)</f>
        <v>106986602.52</v>
      </c>
      <c r="J56" s="16">
        <f>J55+(J46*12)</f>
        <v>106849898.52</v>
      </c>
    </row>
    <row r="57" spans="2:13" ht="17.399999999999999" customHeight="1">
      <c r="B57" s="38"/>
      <c r="C57" s="38"/>
      <c r="D57" s="38"/>
      <c r="E57" s="38"/>
      <c r="F57" s="15" t="s">
        <v>83</v>
      </c>
      <c r="G57" s="32"/>
      <c r="H57" s="16">
        <f>H56+H48</f>
        <v>279607586.51999998</v>
      </c>
      <c r="I57" s="16">
        <f>I56+I48</f>
        <v>151986602.51999998</v>
      </c>
      <c r="J57" s="16">
        <f>J56+J48</f>
        <v>151849898.51999998</v>
      </c>
    </row>
    <row r="58" spans="2:13" ht="17.399999999999999" customHeight="1">
      <c r="B58" s="38"/>
      <c r="C58" s="38"/>
      <c r="D58" s="38"/>
      <c r="E58" s="38"/>
      <c r="F58" s="17" t="s">
        <v>76</v>
      </c>
      <c r="G58" s="30" t="s">
        <v>104</v>
      </c>
      <c r="H58" s="18">
        <f t="shared" ref="H58:J63" si="0">H52*1.1</f>
        <v>17140463.131000001</v>
      </c>
      <c r="I58" s="18">
        <f t="shared" si="0"/>
        <v>7611406.2310000006</v>
      </c>
      <c r="J58" s="18">
        <f t="shared" si="0"/>
        <v>7623936.3310000002</v>
      </c>
    </row>
    <row r="59" spans="2:13" ht="17.399999999999999" customHeight="1">
      <c r="B59" s="38"/>
      <c r="C59" s="38"/>
      <c r="D59" s="38"/>
      <c r="E59" s="38"/>
      <c r="F59" s="17" t="s">
        <v>78</v>
      </c>
      <c r="G59" s="31"/>
      <c r="H59" s="18">
        <f t="shared" si="0"/>
        <v>21505695.431000002</v>
      </c>
      <c r="I59" s="18">
        <f t="shared" si="0"/>
        <v>9807105.2310000025</v>
      </c>
      <c r="J59" s="18">
        <f t="shared" si="0"/>
        <v>9794574.0310000014</v>
      </c>
    </row>
    <row r="60" spans="2:13" ht="17.399999999999999" customHeight="1">
      <c r="B60" s="38"/>
      <c r="C60" s="38"/>
      <c r="D60" s="38"/>
      <c r="E60" s="38"/>
      <c r="F60" s="17" t="s">
        <v>79</v>
      </c>
      <c r="G60" s="32"/>
      <c r="H60" s="18">
        <f t="shared" si="0"/>
        <v>71005695.431000009</v>
      </c>
      <c r="I60" s="18">
        <f t="shared" si="0"/>
        <v>59307105.231000006</v>
      </c>
      <c r="J60" s="18">
        <f t="shared" si="0"/>
        <v>59294574.031000003</v>
      </c>
    </row>
    <row r="61" spans="2:13" ht="17.399999999999999" customHeight="1">
      <c r="B61" s="38"/>
      <c r="C61" s="38"/>
      <c r="D61" s="38"/>
      <c r="E61" s="38"/>
      <c r="F61" s="17" t="s">
        <v>80</v>
      </c>
      <c r="G61" s="30" t="s">
        <v>105</v>
      </c>
      <c r="H61" s="18">
        <f t="shared" si="0"/>
        <v>205685557.57200003</v>
      </c>
      <c r="I61" s="18">
        <f t="shared" si="0"/>
        <v>91336874.772</v>
      </c>
      <c r="J61" s="18">
        <f t="shared" si="0"/>
        <v>91487235.972000003</v>
      </c>
    </row>
    <row r="62" spans="2:13" ht="17.399999999999999" customHeight="1">
      <c r="B62" s="38"/>
      <c r="C62" s="38"/>
      <c r="D62" s="38"/>
      <c r="E62" s="38"/>
      <c r="F62" s="17" t="s">
        <v>82</v>
      </c>
      <c r="G62" s="31"/>
      <c r="H62" s="18">
        <f t="shared" si="0"/>
        <v>258068345.17200002</v>
      </c>
      <c r="I62" s="18">
        <f t="shared" si="0"/>
        <v>117685262.772</v>
      </c>
      <c r="J62" s="18">
        <f t="shared" si="0"/>
        <v>117534888.37200001</v>
      </c>
    </row>
    <row r="63" spans="2:13" ht="17.399999999999999" customHeight="1">
      <c r="B63" s="22" t="s">
        <v>103</v>
      </c>
      <c r="C63" s="22"/>
      <c r="D63" s="22"/>
      <c r="E63" s="22"/>
      <c r="F63" s="17" t="s">
        <v>83</v>
      </c>
      <c r="G63" s="32"/>
      <c r="H63" s="18">
        <f t="shared" si="0"/>
        <v>307568345.17199999</v>
      </c>
      <c r="I63" s="18">
        <f t="shared" si="0"/>
        <v>167185262.77199998</v>
      </c>
      <c r="J63" s="18">
        <f t="shared" si="0"/>
        <v>167034888.37199998</v>
      </c>
    </row>
  </sheetData>
  <mergeCells count="14">
    <mergeCell ref="B46:F46"/>
    <mergeCell ref="B48:F48"/>
    <mergeCell ref="B50:F50"/>
    <mergeCell ref="B52:E62"/>
    <mergeCell ref="G52:G54"/>
    <mergeCell ref="G55:G57"/>
    <mergeCell ref="G58:G60"/>
    <mergeCell ref="G61:G63"/>
    <mergeCell ref="B2:J4"/>
    <mergeCell ref="B14:F14"/>
    <mergeCell ref="B20:F20"/>
    <mergeCell ref="B26:F26"/>
    <mergeCell ref="B31:F31"/>
    <mergeCell ref="B38:F38"/>
  </mergeCells>
  <pageMargins left="0.25" right="0.25" top="0.75" bottom="0.75" header="0.5" footer="0.5"/>
  <pageSetup paperSize="9" scale="45" orientation="landscape" r:id="rId1"/>
  <colBreaks count="1" manualBreakCount="1">
    <brk id="11" max="5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B636-B9CC-4A1E-8DCE-CCE8D142EF1E}">
  <dimension ref="B2:M66"/>
  <sheetViews>
    <sheetView tabSelected="1" view="pageBreakPreview" topLeftCell="A24" zoomScale="55" zoomScaleNormal="100" zoomScaleSheetLayoutView="55" workbookViewId="0">
      <selection activeCell="E43" sqref="E43"/>
    </sheetView>
  </sheetViews>
  <sheetFormatPr defaultRowHeight="14.4"/>
  <cols>
    <col min="1" max="1" width="2.77734375" customWidth="1"/>
    <col min="2" max="2" width="13.21875" customWidth="1"/>
    <col min="3" max="3" width="19.77734375" customWidth="1"/>
    <col min="4" max="4" width="50.21875" bestFit="1" customWidth="1"/>
    <col min="5" max="5" width="78.109375" customWidth="1"/>
    <col min="6" max="6" width="52.6640625" bestFit="1" customWidth="1"/>
    <col min="7" max="7" width="17.21875" customWidth="1"/>
    <col min="8" max="8" width="18" customWidth="1"/>
    <col min="9" max="9" width="17.44140625" customWidth="1"/>
    <col min="10" max="10" width="18.109375" bestFit="1" customWidth="1"/>
    <col min="11" max="11" width="2.77734375" customWidth="1"/>
    <col min="12" max="12" width="79.44140625" bestFit="1" customWidth="1"/>
    <col min="13" max="13" width="18.88671875" customWidth="1"/>
  </cols>
  <sheetData>
    <row r="2" spans="2:12" ht="17.399999999999999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2">
      <c r="B3" s="28"/>
      <c r="C3" s="28"/>
      <c r="D3" s="28"/>
      <c r="E3" s="28"/>
      <c r="F3" s="28"/>
      <c r="G3" s="28"/>
      <c r="H3" s="28"/>
      <c r="I3" s="28"/>
      <c r="J3" s="28"/>
    </row>
    <row r="4" spans="2:12" ht="14.4" customHeight="1" thickBot="1">
      <c r="B4" s="29"/>
      <c r="C4" s="29"/>
      <c r="D4" s="29"/>
      <c r="E4" s="29"/>
      <c r="F4" s="29"/>
      <c r="G4" s="29"/>
      <c r="H4" s="29"/>
      <c r="I4" s="29"/>
      <c r="J4" s="29"/>
    </row>
    <row r="5" spans="2:12" ht="14.4" customHeight="1" thickTop="1"/>
    <row r="6" spans="2:12" ht="15.6" customHeight="1">
      <c r="B6" s="1" t="s">
        <v>1</v>
      </c>
      <c r="C6" s="2" t="s">
        <v>108</v>
      </c>
    </row>
    <row r="7" spans="2:12" ht="15.6" customHeight="1">
      <c r="B7" s="1" t="s">
        <v>2</v>
      </c>
      <c r="C7" s="25" t="s">
        <v>3</v>
      </c>
    </row>
    <row r="8" spans="2:12" ht="15.6" customHeight="1">
      <c r="B8" s="1" t="s">
        <v>4</v>
      </c>
      <c r="C8" s="2" t="s">
        <v>107</v>
      </c>
    </row>
    <row r="9" spans="2:12" ht="15.6" customHeight="1">
      <c r="B9" s="1" t="s">
        <v>5</v>
      </c>
      <c r="C9" t="s">
        <v>106</v>
      </c>
    </row>
    <row r="10" spans="2:12" ht="15.6" customHeight="1">
      <c r="B10" s="1" t="s">
        <v>6</v>
      </c>
      <c r="C10" s="2" t="s">
        <v>7</v>
      </c>
    </row>
    <row r="11" spans="2:12" ht="15.6" customHeight="1">
      <c r="B11" s="1" t="s">
        <v>8</v>
      </c>
      <c r="C11" s="2" t="s">
        <v>9</v>
      </c>
    </row>
    <row r="13" spans="2:12" ht="17.399999999999999" customHeight="1"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16</v>
      </c>
      <c r="I13" s="3" t="s">
        <v>121</v>
      </c>
      <c r="J13" s="3" t="s">
        <v>17</v>
      </c>
      <c r="L13" s="3" t="s">
        <v>18</v>
      </c>
    </row>
    <row r="14" spans="2:12" ht="17.399999999999999" customHeight="1">
      <c r="B14" s="36" t="s">
        <v>19</v>
      </c>
      <c r="C14" s="34"/>
      <c r="D14" s="34"/>
      <c r="E14" s="34"/>
      <c r="F14" s="34"/>
      <c r="G14" s="4" t="s">
        <v>20</v>
      </c>
      <c r="H14" s="5">
        <f>SUM(H15:H19)</f>
        <v>1801083</v>
      </c>
      <c r="I14" s="5">
        <f>SUM(I16:I19)</f>
        <v>1125659</v>
      </c>
      <c r="J14" s="5">
        <f>SUM(J16:J19)</f>
        <v>763307</v>
      </c>
      <c r="L14" s="6"/>
    </row>
    <row r="15" spans="2:12" ht="17.399999999999999" customHeight="1">
      <c r="B15" s="7">
        <v>1</v>
      </c>
      <c r="C15" s="8" t="s">
        <v>145</v>
      </c>
      <c r="D15" s="8" t="s">
        <v>146</v>
      </c>
      <c r="E15" s="8" t="s">
        <v>147</v>
      </c>
      <c r="F15" s="8" t="s">
        <v>148</v>
      </c>
      <c r="G15" s="8" t="s">
        <v>149</v>
      </c>
      <c r="H15" s="9" t="s">
        <v>149</v>
      </c>
      <c r="I15" s="9" t="s">
        <v>149</v>
      </c>
      <c r="J15" s="9" t="s">
        <v>149</v>
      </c>
      <c r="L15" s="6"/>
    </row>
    <row r="16" spans="2:12" ht="17.399999999999999" customHeight="1">
      <c r="B16" s="7">
        <v>2</v>
      </c>
      <c r="C16" s="8" t="s">
        <v>150</v>
      </c>
      <c r="D16" s="8" t="s">
        <v>151</v>
      </c>
      <c r="E16" s="8" t="s">
        <v>152</v>
      </c>
      <c r="F16" s="8" t="s">
        <v>153</v>
      </c>
      <c r="G16" s="8">
        <v>2</v>
      </c>
      <c r="H16" s="9">
        <v>492449</v>
      </c>
      <c r="I16" s="9">
        <v>311326</v>
      </c>
      <c r="J16" s="9">
        <v>214071</v>
      </c>
      <c r="L16" s="8"/>
    </row>
    <row r="17" spans="2:12" ht="17.399999999999999" customHeight="1">
      <c r="B17" s="7">
        <v>3</v>
      </c>
      <c r="C17" s="8" t="s">
        <v>150</v>
      </c>
      <c r="D17" s="8" t="s">
        <v>154</v>
      </c>
      <c r="E17" s="8" t="s">
        <v>155</v>
      </c>
      <c r="F17" s="8" t="s">
        <v>156</v>
      </c>
      <c r="G17" s="8">
        <v>2</v>
      </c>
      <c r="H17" s="9">
        <v>1308634</v>
      </c>
      <c r="I17" s="9">
        <v>814333</v>
      </c>
      <c r="J17" s="9">
        <v>549236</v>
      </c>
      <c r="L17" s="8"/>
    </row>
    <row r="18" spans="2:12" ht="17.399999999999999" customHeight="1">
      <c r="B18" s="7"/>
      <c r="C18" s="8"/>
      <c r="D18" s="8"/>
      <c r="E18" s="8"/>
      <c r="F18" s="8"/>
      <c r="G18" s="8"/>
      <c r="H18" s="9"/>
      <c r="I18" s="9"/>
      <c r="J18" s="9"/>
      <c r="L18" s="8"/>
    </row>
    <row r="19" spans="2:12" ht="17.399999999999999" customHeight="1">
      <c r="B19" s="7"/>
      <c r="C19" s="8"/>
      <c r="D19" s="8"/>
      <c r="E19" s="8"/>
      <c r="F19" s="8"/>
      <c r="G19" s="8"/>
      <c r="H19" s="9"/>
      <c r="I19" s="9"/>
      <c r="J19" s="9"/>
      <c r="L19" s="8"/>
    </row>
    <row r="20" spans="2:12" ht="17.399999999999999" customHeight="1">
      <c r="B20" s="36" t="s">
        <v>31</v>
      </c>
      <c r="C20" s="40"/>
      <c r="D20" s="40"/>
      <c r="E20" s="40"/>
      <c r="F20" s="41"/>
      <c r="G20" s="4" t="s">
        <v>20</v>
      </c>
      <c r="H20" s="5">
        <f>SUM(H21:H25)</f>
        <v>1531083</v>
      </c>
      <c r="I20" s="5">
        <f>SUM(I22:I25)</f>
        <v>956533</v>
      </c>
      <c r="J20" s="5">
        <f>SUM(J22:J25)</f>
        <v>651659</v>
      </c>
      <c r="L20" s="6"/>
    </row>
    <row r="21" spans="2:12" ht="17.399999999999999" customHeight="1">
      <c r="B21" s="7">
        <v>4</v>
      </c>
      <c r="C21" s="8" t="s">
        <v>145</v>
      </c>
      <c r="D21" s="8" t="s">
        <v>146</v>
      </c>
      <c r="E21" s="8" t="s">
        <v>147</v>
      </c>
      <c r="F21" s="8" t="s">
        <v>148</v>
      </c>
      <c r="G21" s="8" t="s">
        <v>149</v>
      </c>
      <c r="H21" s="9" t="s">
        <v>149</v>
      </c>
      <c r="I21" s="9" t="s">
        <v>149</v>
      </c>
      <c r="J21" s="9" t="s">
        <v>149</v>
      </c>
      <c r="L21" s="6"/>
    </row>
    <row r="22" spans="2:12" ht="17.399999999999999" customHeight="1">
      <c r="B22" s="7">
        <v>5</v>
      </c>
      <c r="C22" s="8" t="s">
        <v>150</v>
      </c>
      <c r="D22" s="8" t="s">
        <v>151</v>
      </c>
      <c r="E22" s="8" t="s">
        <v>152</v>
      </c>
      <c r="F22" s="8" t="s">
        <v>153</v>
      </c>
      <c r="G22" s="8">
        <v>2</v>
      </c>
      <c r="H22" s="9">
        <v>492449</v>
      </c>
      <c r="I22" s="9">
        <v>311326</v>
      </c>
      <c r="J22" s="9">
        <v>214071</v>
      </c>
      <c r="L22" s="8"/>
    </row>
    <row r="23" spans="2:12" ht="17.399999999999999" customHeight="1">
      <c r="B23" s="7">
        <v>6</v>
      </c>
      <c r="C23" s="8" t="s">
        <v>150</v>
      </c>
      <c r="D23" s="8" t="s">
        <v>154</v>
      </c>
      <c r="E23" s="8" t="s">
        <v>155</v>
      </c>
      <c r="F23" s="8" t="s">
        <v>206</v>
      </c>
      <c r="G23" s="8">
        <v>2</v>
      </c>
      <c r="H23" s="9">
        <v>1038634</v>
      </c>
      <c r="I23" s="9">
        <v>645207</v>
      </c>
      <c r="J23" s="9">
        <v>437588</v>
      </c>
      <c r="L23" s="8"/>
    </row>
    <row r="24" spans="2:12" ht="17.399999999999999" customHeight="1">
      <c r="B24" s="7"/>
      <c r="C24" s="8"/>
      <c r="D24" s="8"/>
      <c r="E24" s="8"/>
      <c r="F24" s="8"/>
      <c r="G24" s="8"/>
      <c r="H24" s="9"/>
      <c r="I24" s="9"/>
      <c r="J24" s="9"/>
      <c r="L24" s="8"/>
    </row>
    <row r="25" spans="2:12" ht="17.399999999999999" customHeight="1">
      <c r="B25" s="7"/>
      <c r="C25" s="8"/>
      <c r="D25" s="8"/>
      <c r="E25" s="8"/>
      <c r="F25" s="8"/>
      <c r="G25" s="8"/>
      <c r="H25" s="9"/>
      <c r="I25" s="9"/>
      <c r="J25" s="9"/>
      <c r="L25" s="8"/>
    </row>
    <row r="26" spans="2:12" ht="17.399999999999999" customHeight="1">
      <c r="B26" s="36" t="s">
        <v>33</v>
      </c>
      <c r="C26" s="40"/>
      <c r="D26" s="40"/>
      <c r="E26" s="40"/>
      <c r="F26" s="41"/>
      <c r="G26" s="4" t="s">
        <v>20</v>
      </c>
      <c r="H26" s="5">
        <f>SUM(H27:H33)</f>
        <v>1210000</v>
      </c>
      <c r="I26" s="5">
        <f>SUM(I27:I31)</f>
        <v>1050000</v>
      </c>
      <c r="J26" s="5">
        <f>SUM(J27:J31)</f>
        <v>970000</v>
      </c>
      <c r="L26" s="6"/>
    </row>
    <row r="27" spans="2:12" ht="17.399999999999999" customHeight="1">
      <c r="B27" s="7">
        <v>7</v>
      </c>
      <c r="C27" s="8" t="s">
        <v>207</v>
      </c>
      <c r="D27" s="8" t="s">
        <v>208</v>
      </c>
      <c r="E27" s="8" t="s">
        <v>209</v>
      </c>
      <c r="F27" s="8" t="s">
        <v>210</v>
      </c>
      <c r="G27" s="8">
        <v>1</v>
      </c>
      <c r="H27" s="9">
        <v>120000</v>
      </c>
      <c r="I27" s="9">
        <v>120000</v>
      </c>
      <c r="J27" s="9">
        <v>120000</v>
      </c>
      <c r="L27" s="6"/>
    </row>
    <row r="28" spans="2:12" ht="17.399999999999999" customHeight="1">
      <c r="B28" s="7">
        <v>8</v>
      </c>
      <c r="C28" s="8" t="s">
        <v>150</v>
      </c>
      <c r="D28" s="8" t="s">
        <v>211</v>
      </c>
      <c r="E28" s="8" t="s">
        <v>212</v>
      </c>
      <c r="F28" s="8" t="s">
        <v>213</v>
      </c>
      <c r="G28" s="8">
        <v>2</v>
      </c>
      <c r="H28" s="9">
        <v>390000</v>
      </c>
      <c r="I28" s="9">
        <v>230000</v>
      </c>
      <c r="J28" s="9">
        <v>150000</v>
      </c>
      <c r="L28" s="6"/>
    </row>
    <row r="29" spans="2:12" ht="17.399999999999999" customHeight="1">
      <c r="B29" s="7">
        <v>9</v>
      </c>
      <c r="C29" s="8" t="s">
        <v>214</v>
      </c>
      <c r="D29" s="8" t="s">
        <v>215</v>
      </c>
      <c r="E29" s="8" t="s">
        <v>216</v>
      </c>
      <c r="F29" s="8" t="s">
        <v>217</v>
      </c>
      <c r="G29" s="8">
        <v>2</v>
      </c>
      <c r="H29" s="9">
        <v>420000</v>
      </c>
      <c r="I29" s="9">
        <v>420000</v>
      </c>
      <c r="J29" s="9">
        <v>420000</v>
      </c>
      <c r="L29" s="6"/>
    </row>
    <row r="30" spans="2:12" ht="17.399999999999999" customHeight="1">
      <c r="B30" s="7">
        <v>10</v>
      </c>
      <c r="C30" s="8" t="s">
        <v>218</v>
      </c>
      <c r="D30" s="8" t="s">
        <v>219</v>
      </c>
      <c r="E30" s="8" t="s">
        <v>220</v>
      </c>
      <c r="F30" s="8" t="s">
        <v>221</v>
      </c>
      <c r="G30" s="8" t="s">
        <v>149</v>
      </c>
      <c r="H30" s="9">
        <v>280000</v>
      </c>
      <c r="I30" s="9">
        <v>280000</v>
      </c>
      <c r="J30" s="9">
        <v>280000</v>
      </c>
      <c r="L30" s="6"/>
    </row>
    <row r="31" spans="2:12" ht="17.399999999999999" customHeight="1">
      <c r="B31" s="7">
        <v>11</v>
      </c>
      <c r="C31" s="8" t="s">
        <v>187</v>
      </c>
      <c r="D31" s="8" t="s">
        <v>222</v>
      </c>
      <c r="E31" s="8" t="s">
        <v>223</v>
      </c>
      <c r="F31" s="8" t="s">
        <v>190</v>
      </c>
      <c r="G31" s="8" t="s">
        <v>191</v>
      </c>
      <c r="H31" s="9" t="s">
        <v>192</v>
      </c>
      <c r="I31" s="9" t="s">
        <v>192</v>
      </c>
      <c r="J31" s="9" t="s">
        <v>192</v>
      </c>
      <c r="L31" s="8"/>
    </row>
    <row r="32" spans="2:12" ht="17.399999999999999" customHeight="1">
      <c r="B32" s="7"/>
      <c r="C32" s="8"/>
      <c r="D32" s="8"/>
      <c r="E32" s="8"/>
      <c r="F32" s="8"/>
      <c r="G32" s="8"/>
      <c r="H32" s="9"/>
      <c r="I32" s="9"/>
      <c r="J32" s="9"/>
      <c r="L32" s="8"/>
    </row>
    <row r="33" spans="2:12" ht="17.399999999999999" customHeight="1">
      <c r="B33" s="7"/>
      <c r="C33" s="8"/>
      <c r="D33" s="8"/>
      <c r="E33" s="8"/>
      <c r="F33" s="8"/>
      <c r="G33" s="8"/>
      <c r="H33" s="9"/>
      <c r="I33" s="9"/>
      <c r="J33" s="9"/>
      <c r="L33" s="8"/>
    </row>
    <row r="34" spans="2:12" ht="17.399999999999999" customHeight="1">
      <c r="B34" s="33" t="s">
        <v>38</v>
      </c>
      <c r="C34" s="33"/>
      <c r="D34" s="33"/>
      <c r="E34" s="33"/>
      <c r="F34" s="33"/>
      <c r="G34" s="4" t="s">
        <v>20</v>
      </c>
      <c r="H34" s="5">
        <f>SUM(H35:H40)</f>
        <v>1756598</v>
      </c>
      <c r="I34" s="5">
        <f>SUM(I35:I40)</f>
        <v>1298720</v>
      </c>
      <c r="J34" s="5">
        <f>SUM(J35:J40)</f>
        <v>1053113</v>
      </c>
      <c r="L34" s="6"/>
    </row>
    <row r="35" spans="2:12" ht="17.399999999999999" customHeight="1">
      <c r="B35" s="7">
        <v>12</v>
      </c>
      <c r="C35" s="8" t="s">
        <v>145</v>
      </c>
      <c r="D35" s="8" t="s">
        <v>157</v>
      </c>
      <c r="E35" s="8" t="s">
        <v>193</v>
      </c>
      <c r="F35" s="8" t="s">
        <v>165</v>
      </c>
      <c r="G35" s="8" t="s">
        <v>180</v>
      </c>
      <c r="H35" s="9" t="s">
        <v>181</v>
      </c>
      <c r="I35" s="9" t="s">
        <v>181</v>
      </c>
      <c r="J35" s="9" t="s">
        <v>181</v>
      </c>
      <c r="L35" s="6"/>
    </row>
    <row r="36" spans="2:12" ht="17.399999999999999" customHeight="1">
      <c r="B36" s="7">
        <v>13</v>
      </c>
      <c r="C36" s="8" t="s">
        <v>224</v>
      </c>
      <c r="D36" s="8" t="s">
        <v>225</v>
      </c>
      <c r="E36" s="8" t="s">
        <v>226</v>
      </c>
      <c r="F36" s="8" t="s">
        <v>227</v>
      </c>
      <c r="G36" s="8">
        <v>1</v>
      </c>
      <c r="H36" s="9">
        <v>1049299</v>
      </c>
      <c r="I36" s="9">
        <v>750230</v>
      </c>
      <c r="J36" s="9">
        <v>589840</v>
      </c>
      <c r="L36" s="8"/>
    </row>
    <row r="37" spans="2:12" ht="17.399999999999999" customHeight="1">
      <c r="B37" s="7">
        <v>14</v>
      </c>
      <c r="C37" s="8" t="s">
        <v>228</v>
      </c>
      <c r="D37" s="8" t="s">
        <v>229</v>
      </c>
      <c r="E37" s="8" t="s">
        <v>230</v>
      </c>
      <c r="F37" s="8" t="s">
        <v>231</v>
      </c>
      <c r="G37" s="8">
        <v>1</v>
      </c>
      <c r="H37" s="9">
        <v>320000</v>
      </c>
      <c r="I37" s="9">
        <v>320000</v>
      </c>
      <c r="J37" s="9">
        <v>320000</v>
      </c>
      <c r="L37" s="8"/>
    </row>
    <row r="38" spans="2:12" ht="17.399999999999999" customHeight="1">
      <c r="B38" s="7">
        <v>15</v>
      </c>
      <c r="C38" s="8" t="s">
        <v>232</v>
      </c>
      <c r="D38" s="8" t="s">
        <v>233</v>
      </c>
      <c r="E38" s="8" t="s">
        <v>232</v>
      </c>
      <c r="F38" s="8" t="s">
        <v>234</v>
      </c>
      <c r="G38" s="8">
        <v>1</v>
      </c>
      <c r="H38" s="9">
        <v>387299</v>
      </c>
      <c r="I38" s="9">
        <v>228490</v>
      </c>
      <c r="J38" s="9">
        <v>143273</v>
      </c>
      <c r="L38" s="8"/>
    </row>
    <row r="39" spans="2:12" ht="17.399999999999999" customHeight="1">
      <c r="B39" s="7">
        <v>16</v>
      </c>
      <c r="C39" s="8" t="s">
        <v>45</v>
      </c>
      <c r="D39" s="8" t="s">
        <v>46</v>
      </c>
      <c r="E39" s="8" t="s">
        <v>199</v>
      </c>
      <c r="F39" s="8" t="s">
        <v>200</v>
      </c>
      <c r="G39" s="8" t="s">
        <v>180</v>
      </c>
      <c r="H39" s="9" t="s">
        <v>201</v>
      </c>
      <c r="I39" s="9" t="s">
        <v>201</v>
      </c>
      <c r="J39" s="9" t="s">
        <v>201</v>
      </c>
      <c r="L39" s="8"/>
    </row>
    <row r="40" spans="2:12" ht="17.399999999999999" customHeight="1">
      <c r="B40" s="23"/>
      <c r="D40" s="24"/>
      <c r="E40" s="24"/>
      <c r="F40" s="24"/>
      <c r="G40" s="8"/>
      <c r="H40" s="9"/>
      <c r="I40" s="9"/>
      <c r="J40" s="9"/>
      <c r="L40" s="8"/>
    </row>
    <row r="41" spans="2:12" ht="17.399999999999999" customHeight="1">
      <c r="B41" s="33" t="s">
        <v>48</v>
      </c>
      <c r="C41" s="33"/>
      <c r="D41" s="33"/>
      <c r="E41" s="33"/>
      <c r="F41" s="33"/>
      <c r="G41" s="4" t="s">
        <v>20</v>
      </c>
      <c r="H41" s="5">
        <f>SUM(H42:H48)</f>
        <v>2251249.21</v>
      </c>
      <c r="I41" s="5">
        <f>SUM(I42:I48)</f>
        <v>2251249.21</v>
      </c>
      <c r="J41" s="5">
        <f>SUM(J42:J48)</f>
        <v>2251249.21</v>
      </c>
      <c r="L41" s="6"/>
    </row>
    <row r="42" spans="2:12" ht="17.399999999999999" customHeight="1">
      <c r="B42" s="7">
        <v>20</v>
      </c>
      <c r="C42" s="8" t="s">
        <v>115</v>
      </c>
      <c r="D42" s="8" t="s">
        <v>114</v>
      </c>
      <c r="E42" s="8" t="s">
        <v>134</v>
      </c>
      <c r="F42" s="7" t="s">
        <v>106</v>
      </c>
      <c r="G42" s="8">
        <v>1</v>
      </c>
      <c r="H42" s="9">
        <v>535292.04</v>
      </c>
      <c r="I42" s="9">
        <v>535292.04</v>
      </c>
      <c r="J42" s="9">
        <v>535292.04</v>
      </c>
      <c r="L42" s="8"/>
    </row>
    <row r="43" spans="2:12" ht="17.399999999999999" customHeight="1">
      <c r="B43" s="7">
        <v>21</v>
      </c>
      <c r="C43" s="8" t="s">
        <v>49</v>
      </c>
      <c r="D43" s="8" t="s">
        <v>50</v>
      </c>
      <c r="E43" s="8" t="s">
        <v>51</v>
      </c>
      <c r="F43" s="8" t="s">
        <v>143</v>
      </c>
      <c r="G43" s="8">
        <v>2</v>
      </c>
      <c r="H43" s="9">
        <v>11014.24</v>
      </c>
      <c r="I43" s="9">
        <v>11014.24</v>
      </c>
      <c r="J43" s="9">
        <v>11014.24</v>
      </c>
      <c r="L43" s="8"/>
    </row>
    <row r="44" spans="2:12" ht="17.399999999999999" customHeight="1">
      <c r="B44" s="7">
        <v>22</v>
      </c>
      <c r="C44" s="21" t="s">
        <v>52</v>
      </c>
      <c r="D44" s="8" t="s">
        <v>53</v>
      </c>
      <c r="E44" s="8" t="s">
        <v>54</v>
      </c>
      <c r="F44" s="8" t="s">
        <v>55</v>
      </c>
      <c r="G44" s="8">
        <v>1</v>
      </c>
      <c r="H44" s="9">
        <v>93847</v>
      </c>
      <c r="I44" s="9">
        <v>93847</v>
      </c>
      <c r="J44" s="9">
        <v>93847</v>
      </c>
      <c r="L44" s="8" t="s">
        <v>56</v>
      </c>
    </row>
    <row r="45" spans="2:12" ht="17.399999999999999" customHeight="1">
      <c r="B45" s="7">
        <v>23</v>
      </c>
      <c r="C45" s="21" t="s">
        <v>57</v>
      </c>
      <c r="D45" s="8" t="s">
        <v>58</v>
      </c>
      <c r="E45" s="8" t="s">
        <v>59</v>
      </c>
      <c r="F45" s="8" t="s">
        <v>60</v>
      </c>
      <c r="G45" s="8">
        <v>1</v>
      </c>
      <c r="H45" s="9">
        <v>4526</v>
      </c>
      <c r="I45" s="9">
        <v>4526</v>
      </c>
      <c r="J45" s="9">
        <v>4526</v>
      </c>
      <c r="L45" s="8"/>
    </row>
    <row r="46" spans="2:12" ht="17.399999999999999" customHeight="1">
      <c r="B46" s="7">
        <v>24</v>
      </c>
      <c r="C46" s="21" t="s">
        <v>61</v>
      </c>
      <c r="D46" s="8" t="s">
        <v>62</v>
      </c>
      <c r="E46" s="8" t="s">
        <v>63</v>
      </c>
      <c r="F46" s="8" t="s">
        <v>64</v>
      </c>
      <c r="G46" s="8">
        <v>14</v>
      </c>
      <c r="H46" s="9">
        <v>211232</v>
      </c>
      <c r="I46" s="9">
        <v>211232</v>
      </c>
      <c r="J46" s="9">
        <v>211232</v>
      </c>
      <c r="L46" s="8"/>
    </row>
    <row r="47" spans="2:12" ht="17.399999999999999" customHeight="1">
      <c r="B47" s="7">
        <v>25</v>
      </c>
      <c r="C47" s="21" t="s">
        <v>133</v>
      </c>
      <c r="D47" s="8" t="s">
        <v>138</v>
      </c>
      <c r="E47" s="8" t="s">
        <v>142</v>
      </c>
      <c r="F47" s="7" t="s">
        <v>106</v>
      </c>
      <c r="G47" s="8">
        <v>1</v>
      </c>
      <c r="H47" s="9">
        <v>1376779.93</v>
      </c>
      <c r="I47" s="9">
        <v>1376779.93</v>
      </c>
      <c r="J47" s="9">
        <v>1376779.93</v>
      </c>
      <c r="L47" s="8"/>
    </row>
    <row r="48" spans="2:12" ht="17.399999999999999" customHeight="1">
      <c r="B48" s="7">
        <v>26</v>
      </c>
      <c r="C48" s="21" t="s">
        <v>65</v>
      </c>
      <c r="D48" s="8" t="s">
        <v>66</v>
      </c>
      <c r="E48" s="8" t="s">
        <v>67</v>
      </c>
      <c r="F48" s="8" t="s">
        <v>68</v>
      </c>
      <c r="G48" s="8">
        <v>1</v>
      </c>
      <c r="H48" s="9">
        <v>18558</v>
      </c>
      <c r="I48" s="9">
        <v>18558</v>
      </c>
      <c r="J48" s="9">
        <v>18558</v>
      </c>
      <c r="L48" s="8" t="s">
        <v>69</v>
      </c>
    </row>
    <row r="49" spans="2:13" ht="17.399999999999999" customHeight="1">
      <c r="B49" s="33" t="s">
        <v>70</v>
      </c>
      <c r="C49" s="34"/>
      <c r="D49" s="34"/>
      <c r="E49" s="34"/>
      <c r="F49" s="35"/>
      <c r="G49" s="4" t="s">
        <v>20</v>
      </c>
      <c r="H49" s="5">
        <f>SUM(H50)</f>
        <v>2035536</v>
      </c>
      <c r="I49" s="5">
        <f>SUM(I50)</f>
        <v>1627186</v>
      </c>
      <c r="J49" s="5">
        <f>SUM(J50)</f>
        <v>1405271</v>
      </c>
      <c r="L49" s="6"/>
    </row>
    <row r="50" spans="2:13" ht="17.399999999999999">
      <c r="B50" s="7">
        <v>24</v>
      </c>
      <c r="C50" s="8" t="s">
        <v>71</v>
      </c>
      <c r="D50" s="8" t="s">
        <v>72</v>
      </c>
      <c r="E50" s="10" t="s">
        <v>202</v>
      </c>
      <c r="F50" s="10" t="s">
        <v>203</v>
      </c>
      <c r="G50" s="8">
        <v>1</v>
      </c>
      <c r="H50" s="9">
        <v>2035536</v>
      </c>
      <c r="I50" s="9">
        <v>1627186</v>
      </c>
      <c r="J50" s="9">
        <v>1405271</v>
      </c>
      <c r="L50" s="8"/>
    </row>
    <row r="51" spans="2:13" ht="17.399999999999999" customHeight="1">
      <c r="B51" s="33" t="s">
        <v>73</v>
      </c>
      <c r="C51" s="34"/>
      <c r="D51" s="34"/>
      <c r="E51" s="34"/>
      <c r="F51" s="35"/>
      <c r="G51" s="4" t="s">
        <v>20</v>
      </c>
      <c r="H51" s="5">
        <f>SUM(H52)</f>
        <v>45000000</v>
      </c>
      <c r="I51" s="5">
        <f>SUM(I52)</f>
        <v>45000000</v>
      </c>
      <c r="J51" s="5">
        <f>SUM(J52)</f>
        <v>45000000</v>
      </c>
      <c r="L51" s="6"/>
    </row>
    <row r="52" spans="2:13" ht="17.399999999999999" customHeight="1">
      <c r="B52" s="7">
        <v>28</v>
      </c>
      <c r="C52" s="8" t="s">
        <v>71</v>
      </c>
      <c r="D52" s="8" t="s">
        <v>74</v>
      </c>
      <c r="E52" s="8" t="s">
        <v>111</v>
      </c>
      <c r="F52" s="7" t="s">
        <v>106</v>
      </c>
      <c r="G52" s="8">
        <v>3</v>
      </c>
      <c r="H52" s="9">
        <v>45000000</v>
      </c>
      <c r="I52" s="9">
        <v>45000000</v>
      </c>
      <c r="J52" s="9">
        <v>45000000</v>
      </c>
      <c r="L52" s="8"/>
    </row>
    <row r="53" spans="2:13" ht="17.399999999999999" customHeight="1">
      <c r="B53" s="33" t="s">
        <v>75</v>
      </c>
      <c r="C53" s="34"/>
      <c r="D53" s="34"/>
      <c r="E53" s="34"/>
      <c r="F53" s="35"/>
      <c r="G53" s="4" t="s">
        <v>20</v>
      </c>
      <c r="H53" s="11">
        <f>SUM(H54)</f>
        <v>1221322</v>
      </c>
      <c r="I53" s="11">
        <f>SUM(I54)</f>
        <v>976312</v>
      </c>
      <c r="J53" s="11">
        <f>SUM(J54)</f>
        <v>843163</v>
      </c>
      <c r="L53" s="6"/>
    </row>
    <row r="54" spans="2:13" ht="17.399999999999999" customHeight="1">
      <c r="B54" s="7">
        <v>26</v>
      </c>
      <c r="C54" s="8" t="s">
        <v>204</v>
      </c>
      <c r="D54" s="8" t="s">
        <v>205</v>
      </c>
      <c r="E54" s="12">
        <v>0.1</v>
      </c>
      <c r="F54" s="7" t="s">
        <v>205</v>
      </c>
      <c r="G54" s="7" t="s">
        <v>205</v>
      </c>
      <c r="H54" s="13">
        <v>1221322</v>
      </c>
      <c r="I54" s="13">
        <v>976312</v>
      </c>
      <c r="J54" s="13">
        <v>843163</v>
      </c>
      <c r="L54" s="14"/>
    </row>
    <row r="55" spans="2:13" ht="17.399999999999999" customHeight="1">
      <c r="B55" s="37" t="s">
        <v>144</v>
      </c>
      <c r="C55" s="38"/>
      <c r="D55" s="38"/>
      <c r="E55" s="38"/>
      <c r="F55" s="15" t="s">
        <v>76</v>
      </c>
      <c r="G55" s="39" t="s">
        <v>77</v>
      </c>
      <c r="H55" s="16">
        <f>SUM(H15:H19,H21:H25,H27:H33,H36:H40,H42:H48)-H53</f>
        <v>7328691.2100000009</v>
      </c>
      <c r="I55" s="16">
        <f>SUM(I15:I19,I21:I25,I27:I33,I36:I40,I42:I48)-I53</f>
        <v>5705849.21</v>
      </c>
      <c r="J55" s="16">
        <f>SUM(J15:J19,J21:J25,J27:J33,J36:J40,J42:J48)-J53</f>
        <v>4846165.21</v>
      </c>
    </row>
    <row r="56" spans="2:13" ht="17.399999999999999" customHeight="1">
      <c r="B56" s="38"/>
      <c r="C56" s="38"/>
      <c r="D56" s="38"/>
      <c r="E56" s="38"/>
      <c r="F56" s="15" t="s">
        <v>78</v>
      </c>
      <c r="G56" s="31"/>
      <c r="H56" s="16">
        <f>H49+H55</f>
        <v>9364227.2100000009</v>
      </c>
      <c r="I56" s="16">
        <f>I49+I55</f>
        <v>7333035.21</v>
      </c>
      <c r="J56" s="16">
        <f>J49+J55</f>
        <v>6251436.21</v>
      </c>
    </row>
    <row r="57" spans="2:13" ht="17.399999999999999" customHeight="1">
      <c r="B57" s="38"/>
      <c r="C57" s="38"/>
      <c r="D57" s="38"/>
      <c r="E57" s="38"/>
      <c r="F57" s="15" t="s">
        <v>79</v>
      </c>
      <c r="G57" s="32"/>
      <c r="H57" s="16">
        <f>H56+H51</f>
        <v>54364227.210000001</v>
      </c>
      <c r="I57" s="16">
        <f>I56+I51</f>
        <v>52333035.210000001</v>
      </c>
      <c r="J57" s="16">
        <f>J56+J51</f>
        <v>51251436.210000001</v>
      </c>
    </row>
    <row r="58" spans="2:13" ht="17.399999999999999" customHeight="1">
      <c r="B58" s="38"/>
      <c r="C58" s="38"/>
      <c r="D58" s="38"/>
      <c r="E58" s="38"/>
      <c r="F58" s="15" t="s">
        <v>80</v>
      </c>
      <c r="G58" s="39" t="s">
        <v>81</v>
      </c>
      <c r="H58" s="16">
        <f>H55*12</f>
        <v>87944294.520000011</v>
      </c>
      <c r="I58" s="16">
        <f>I55*12</f>
        <v>68470190.519999996</v>
      </c>
      <c r="J58" s="16">
        <f>J55*12</f>
        <v>58153982.519999996</v>
      </c>
      <c r="M58" t="s">
        <v>113</v>
      </c>
    </row>
    <row r="59" spans="2:13" ht="17.399999999999999" customHeight="1">
      <c r="B59" s="38"/>
      <c r="C59" s="38"/>
      <c r="D59" s="38"/>
      <c r="E59" s="38"/>
      <c r="F59" s="15" t="s">
        <v>82</v>
      </c>
      <c r="G59" s="31"/>
      <c r="H59" s="16">
        <f>H58+(H49*12)</f>
        <v>112370726.52000001</v>
      </c>
      <c r="I59" s="16">
        <f>I58+(I49*12)</f>
        <v>87996422.519999996</v>
      </c>
      <c r="J59" s="16">
        <f>J58+(J49*12)</f>
        <v>75017234.519999996</v>
      </c>
    </row>
    <row r="60" spans="2:13" ht="17.399999999999999" customHeight="1">
      <c r="B60" s="38"/>
      <c r="C60" s="38"/>
      <c r="D60" s="38"/>
      <c r="E60" s="38"/>
      <c r="F60" s="15" t="s">
        <v>83</v>
      </c>
      <c r="G60" s="32"/>
      <c r="H60" s="16">
        <f>H59+H51</f>
        <v>157370726.52000001</v>
      </c>
      <c r="I60" s="16">
        <f>I59+I51</f>
        <v>132996422.52</v>
      </c>
      <c r="J60" s="16">
        <f>J59+J51</f>
        <v>120017234.52</v>
      </c>
    </row>
    <row r="61" spans="2:13" ht="17.399999999999999" customHeight="1">
      <c r="B61" s="38"/>
      <c r="C61" s="38"/>
      <c r="D61" s="38"/>
      <c r="E61" s="38"/>
      <c r="F61" s="17" t="s">
        <v>76</v>
      </c>
      <c r="G61" s="30" t="s">
        <v>104</v>
      </c>
      <c r="H61" s="18">
        <f t="shared" ref="H61:J66" si="0">H55*1.1</f>
        <v>8061560.3310000012</v>
      </c>
      <c r="I61" s="18">
        <f t="shared" si="0"/>
        <v>6276434.1310000001</v>
      </c>
      <c r="J61" s="18">
        <f t="shared" si="0"/>
        <v>5330781.7310000006</v>
      </c>
    </row>
    <row r="62" spans="2:13" ht="17.399999999999999" customHeight="1">
      <c r="B62" s="38"/>
      <c r="C62" s="38"/>
      <c r="D62" s="38"/>
      <c r="E62" s="38"/>
      <c r="F62" s="17" t="s">
        <v>78</v>
      </c>
      <c r="G62" s="31"/>
      <c r="H62" s="18">
        <f t="shared" si="0"/>
        <v>10300649.931000002</v>
      </c>
      <c r="I62" s="18">
        <f t="shared" si="0"/>
        <v>8066338.7310000006</v>
      </c>
      <c r="J62" s="18">
        <f t="shared" si="0"/>
        <v>6876579.8310000002</v>
      </c>
    </row>
    <row r="63" spans="2:13" ht="17.399999999999999" customHeight="1">
      <c r="B63" s="38"/>
      <c r="C63" s="38"/>
      <c r="D63" s="38"/>
      <c r="E63" s="38"/>
      <c r="F63" s="17" t="s">
        <v>79</v>
      </c>
      <c r="G63" s="32"/>
      <c r="H63" s="18">
        <f t="shared" si="0"/>
        <v>59800649.931000009</v>
      </c>
      <c r="I63" s="18">
        <f t="shared" si="0"/>
        <v>57566338.731000006</v>
      </c>
      <c r="J63" s="18">
        <f t="shared" si="0"/>
        <v>56376579.831000008</v>
      </c>
    </row>
    <row r="64" spans="2:13" ht="17.399999999999999" customHeight="1">
      <c r="B64" s="38"/>
      <c r="C64" s="38"/>
      <c r="D64" s="38"/>
      <c r="E64" s="38"/>
      <c r="F64" s="17" t="s">
        <v>80</v>
      </c>
      <c r="G64" s="30" t="s">
        <v>105</v>
      </c>
      <c r="H64" s="18">
        <f t="shared" si="0"/>
        <v>96738723.972000018</v>
      </c>
      <c r="I64" s="18">
        <f t="shared" si="0"/>
        <v>75317209.571999997</v>
      </c>
      <c r="J64" s="18">
        <f t="shared" si="0"/>
        <v>63969380.772</v>
      </c>
    </row>
    <row r="65" spans="2:10" ht="17.399999999999999" customHeight="1">
      <c r="B65" s="38"/>
      <c r="C65" s="38"/>
      <c r="D65" s="38"/>
      <c r="E65" s="38"/>
      <c r="F65" s="17" t="s">
        <v>82</v>
      </c>
      <c r="G65" s="31"/>
      <c r="H65" s="18">
        <f t="shared" si="0"/>
        <v>123607799.17200002</v>
      </c>
      <c r="I65" s="18">
        <f t="shared" si="0"/>
        <v>96796064.772</v>
      </c>
      <c r="J65" s="18">
        <f t="shared" si="0"/>
        <v>82518957.972000003</v>
      </c>
    </row>
    <row r="66" spans="2:10" ht="17.399999999999999" customHeight="1">
      <c r="B66" s="22" t="s">
        <v>103</v>
      </c>
      <c r="C66" s="22"/>
      <c r="D66" s="22"/>
      <c r="E66" s="22"/>
      <c r="F66" s="17" t="s">
        <v>83</v>
      </c>
      <c r="G66" s="32"/>
      <c r="H66" s="18">
        <f t="shared" si="0"/>
        <v>173107799.17200002</v>
      </c>
      <c r="I66" s="18">
        <f t="shared" si="0"/>
        <v>146296064.77200001</v>
      </c>
      <c r="J66" s="18">
        <f t="shared" si="0"/>
        <v>132018957.972</v>
      </c>
    </row>
  </sheetData>
  <mergeCells count="14">
    <mergeCell ref="B49:F49"/>
    <mergeCell ref="B51:F51"/>
    <mergeCell ref="B53:F53"/>
    <mergeCell ref="B55:E65"/>
    <mergeCell ref="G55:G57"/>
    <mergeCell ref="G58:G60"/>
    <mergeCell ref="G61:G63"/>
    <mergeCell ref="G64:G66"/>
    <mergeCell ref="B2:J4"/>
    <mergeCell ref="B14:F14"/>
    <mergeCell ref="B20:F20"/>
    <mergeCell ref="B26:F26"/>
    <mergeCell ref="B34:F34"/>
    <mergeCell ref="B41:F41"/>
  </mergeCells>
  <pageMargins left="0.25" right="0.25" top="0.75" bottom="0.75" header="0.5" footer="0.5"/>
  <pageSetup paperSize="9" scale="45" orientation="landscape" r:id="rId1"/>
  <colBreaks count="1" manualBreakCount="1">
    <brk id="11" max="58" man="1"/>
  </colBreak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  <clbl:label id="{f78afb0b-cf10-4bf9-960e-5937f16a9379}" enabled="1" method="Standard" siteId="{f754124d-f841-4b68-aec4-092f484be5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개요</vt:lpstr>
      <vt:lpstr>견적서_v0.1</vt:lpstr>
      <vt:lpstr>Scale-up</vt:lpstr>
      <vt:lpstr>대체안</vt:lpstr>
      <vt:lpstr>'Scale-up'!Print_Area</vt:lpstr>
      <vt:lpstr>견적서_v0.1!Print_Area</vt:lpstr>
      <vt:lpstr>대체안!Print_Area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Pyeong Gwon (Accenture International Limited)</cp:lastModifiedBy>
  <cp:lastPrinted>2026-04-07T07:34:52Z</cp:lastPrinted>
  <dcterms:created xsi:type="dcterms:W3CDTF">2026-03-09T15:30:57Z</dcterms:created>
  <dcterms:modified xsi:type="dcterms:W3CDTF">2026-04-16T02:24:52Z</dcterms:modified>
</cp:coreProperties>
</file>